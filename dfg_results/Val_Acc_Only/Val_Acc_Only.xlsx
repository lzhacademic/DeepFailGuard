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epFailGuard\dfg_results\val_acc\"/>
    </mc:Choice>
  </mc:AlternateContent>
  <xr:revisionPtr revIDLastSave="0" documentId="13_ncr:1_{45302D79-19E8-48E4-AC45-9262DBDF5A3A}" xr6:coauthVersionLast="47" xr6:coauthVersionMax="47" xr10:uidLastSave="{00000000-0000-0000-0000-000000000000}"/>
  <bookViews>
    <workbookView xWindow="-108" yWindow="-108" windowWidth="30936" windowHeight="17496" activeTab="6" xr2:uid="{00000000-000D-0000-FFFF-FFFF00000000}"/>
  </bookViews>
  <sheets>
    <sheet name="CIFAR10" sheetId="1" r:id="rId1"/>
    <sheet name="ATS" sheetId="2" r:id="rId2"/>
    <sheet name="CTSD" sheetId="3" r:id="rId3"/>
    <sheet name="GTSRB" sheetId="4" r:id="rId4"/>
    <sheet name="TSCD" sheetId="5" r:id="rId5"/>
    <sheet name="TTS" sheetId="6" r:id="rId6"/>
    <sheet name="COVIDX9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7" l="1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I25" i="7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I25" i="6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I25" i="5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I25" i="4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I25" i="3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I25" i="2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I27" i="1"/>
</calcChain>
</file>

<file path=xl/sharedStrings.xml><?xml version="1.0" encoding="utf-8"?>
<sst xmlns="http://schemas.openxmlformats.org/spreadsheetml/2006/main" count="806" uniqueCount="58">
  <si>
    <t>缺陷编号</t>
  </si>
  <si>
    <t>模型一</t>
  </si>
  <si>
    <t>模型二</t>
  </si>
  <si>
    <t>模型三</t>
  </si>
  <si>
    <t>模型一准确率</t>
  </si>
  <si>
    <t>模型二准确率</t>
  </si>
  <si>
    <t>模型三准确率</t>
  </si>
  <si>
    <t>理论上限</t>
  </si>
  <si>
    <t>DFG</t>
  </si>
  <si>
    <t>众数投票</t>
  </si>
  <si>
    <t>提升</t>
  </si>
  <si>
    <t>相对提升</t>
  </si>
  <si>
    <t>baseline优于所有版本</t>
  </si>
  <si>
    <t>baseline优于两个版本</t>
  </si>
  <si>
    <t>baseline优于一个版本</t>
  </si>
  <si>
    <t>DFG优于所有版本</t>
  </si>
  <si>
    <t>DFG优于两个版本</t>
  </si>
  <si>
    <t>DFG优于一个版本</t>
  </si>
  <si>
    <t>模型一单独出错</t>
  </si>
  <si>
    <t>模型二单独出错</t>
  </si>
  <si>
    <t>模型三单独出错</t>
  </si>
  <si>
    <t>模型一二同时出错</t>
  </si>
  <si>
    <t>模型二三同时出错</t>
  </si>
  <si>
    <t>模型一三同时出错</t>
  </si>
  <si>
    <t>e1</t>
  </si>
  <si>
    <t>e2</t>
  </si>
  <si>
    <t>e3</t>
  </si>
  <si>
    <t>Voting容错e2</t>
  </si>
  <si>
    <t>DFG容错e2</t>
  </si>
  <si>
    <t>e2下DFG对Voting的修正率</t>
  </si>
  <si>
    <t>0-0-0</t>
  </si>
  <si>
    <t>resnet</t>
  </si>
  <si>
    <t>alexnet</t>
  </si>
  <si>
    <t>squeezenet</t>
  </si>
  <si>
    <t>1-1-1</t>
  </si>
  <si>
    <t>densenet</t>
  </si>
  <si>
    <t>2-2-2</t>
  </si>
  <si>
    <t>vgg16</t>
  </si>
  <si>
    <t>3-3-3</t>
  </si>
  <si>
    <t>4-4-4</t>
  </si>
  <si>
    <t>5-5-5</t>
  </si>
  <si>
    <t>6-6-6</t>
  </si>
  <si>
    <t>7-7-7</t>
  </si>
  <si>
    <t>8-8-8</t>
  </si>
  <si>
    <t>9-9-9</t>
  </si>
  <si>
    <t>10-10-10</t>
  </si>
  <si>
    <t>11-11-11</t>
  </si>
  <si>
    <t>12-12-12</t>
  </si>
  <si>
    <t>1-0-0</t>
  </si>
  <si>
    <t>2-0-0</t>
  </si>
  <si>
    <t>3-0-0</t>
  </si>
  <si>
    <t>4-0-0</t>
  </si>
  <si>
    <t>5-0-0</t>
  </si>
  <si>
    <t>6-0-0</t>
  </si>
  <si>
    <t>7-0-0</t>
  </si>
  <si>
    <t>8-0-0</t>
  </si>
  <si>
    <t>9-0-0</t>
  </si>
  <si>
    <t>10-0-0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</si>
</sst>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workbookViewId="0">
      <selection activeCell="J27" sqref="J27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31</v>
      </c>
      <c r="C2" t="s">
        <v>32</v>
      </c>
      <c r="D2" t="s">
        <v>33</v>
      </c>
      <c r="E2">
        <v>80.16</v>
      </c>
      <c r="F2">
        <v>78.53</v>
      </c>
      <c r="G2">
        <v>80.41</v>
      </c>
      <c r="H2">
        <v>92.75</v>
      </c>
      <c r="I2">
        <v>80.16</v>
      </c>
      <c r="J2">
        <v>83.55</v>
      </c>
      <c r="K2">
        <v>-3.39</v>
      </c>
      <c r="L2">
        <v>-36.85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U2">
        <v>6.25E-2</v>
      </c>
      <c r="V2">
        <v>6.6500000000000004E-2</v>
      </c>
      <c r="W2">
        <v>5.0200000000000002E-2</v>
      </c>
      <c r="X2">
        <v>3.3000000000000002E-2</v>
      </c>
      <c r="Y2">
        <v>4.2700000000000002E-2</v>
      </c>
      <c r="Z2">
        <v>3.04E-2</v>
      </c>
      <c r="AA2">
        <v>0.1792</v>
      </c>
      <c r="AB2">
        <v>0.1061</v>
      </c>
      <c r="AC2">
        <v>7.2499999999999995E-2</v>
      </c>
      <c r="AD2">
        <v>0.13289999999999999</v>
      </c>
      <c r="AE2">
        <v>0.40250000000000002</v>
      </c>
      <c r="AF2">
        <v>0.40110000000000001</v>
      </c>
    </row>
    <row r="3" spans="1:32" x14ac:dyDescent="0.25">
      <c r="A3" t="s">
        <v>34</v>
      </c>
      <c r="B3" t="s">
        <v>32</v>
      </c>
      <c r="C3" t="s">
        <v>35</v>
      </c>
      <c r="D3" t="s">
        <v>33</v>
      </c>
      <c r="E3">
        <v>71.95</v>
      </c>
      <c r="F3">
        <v>82.97</v>
      </c>
      <c r="G3">
        <v>79.75</v>
      </c>
      <c r="H3">
        <v>93.07</v>
      </c>
      <c r="I3">
        <v>82.95</v>
      </c>
      <c r="J3">
        <v>83.240000000000009</v>
      </c>
      <c r="K3">
        <v>-0.28999999999999998</v>
      </c>
      <c r="L3">
        <v>-2.95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U3">
        <v>0.1182</v>
      </c>
      <c r="V3">
        <v>4.4600000000000001E-2</v>
      </c>
      <c r="W3">
        <v>4.3900000000000002E-2</v>
      </c>
      <c r="X3">
        <v>3.0300000000000001E-2</v>
      </c>
      <c r="Y3">
        <v>2.63E-2</v>
      </c>
      <c r="Z3">
        <v>6.2700000000000006E-2</v>
      </c>
      <c r="AA3">
        <v>0.20669999999999999</v>
      </c>
      <c r="AB3">
        <v>0.1193</v>
      </c>
      <c r="AC3">
        <v>6.93E-2</v>
      </c>
      <c r="AD3">
        <v>0.17599999999999999</v>
      </c>
      <c r="AE3">
        <v>0.52559999999999996</v>
      </c>
      <c r="AF3">
        <v>0.54020000000000001</v>
      </c>
    </row>
    <row r="4" spans="1:32" x14ac:dyDescent="0.25">
      <c r="A4" t="s">
        <v>36</v>
      </c>
      <c r="B4" t="s">
        <v>33</v>
      </c>
      <c r="C4" t="s">
        <v>37</v>
      </c>
      <c r="D4" t="s">
        <v>31</v>
      </c>
      <c r="E4">
        <v>79.63</v>
      </c>
      <c r="F4">
        <v>81.94</v>
      </c>
      <c r="G4">
        <v>67.150000000000006</v>
      </c>
      <c r="H4">
        <v>92.81</v>
      </c>
      <c r="I4">
        <v>81.93</v>
      </c>
      <c r="J4">
        <v>83.04</v>
      </c>
      <c r="K4">
        <v>-1.1100000000000001</v>
      </c>
      <c r="L4">
        <v>-11.36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U4">
        <v>5.4899999999999997E-2</v>
      </c>
      <c r="V4">
        <v>3.5299999999999998E-2</v>
      </c>
      <c r="W4">
        <v>0.1686</v>
      </c>
      <c r="X4">
        <v>3.1199999999999999E-2</v>
      </c>
      <c r="Y4">
        <v>4.2299999999999997E-2</v>
      </c>
      <c r="Z4">
        <v>4.5699999999999998E-2</v>
      </c>
      <c r="AA4">
        <v>0.25879999999999997</v>
      </c>
      <c r="AB4">
        <v>0.1192</v>
      </c>
      <c r="AC4">
        <v>7.1900000000000006E-2</v>
      </c>
      <c r="AD4">
        <v>0.1804</v>
      </c>
      <c r="AE4">
        <v>0.38340000000000002</v>
      </c>
      <c r="AF4">
        <v>0.35010000000000002</v>
      </c>
    </row>
    <row r="5" spans="1:32" x14ac:dyDescent="0.25">
      <c r="A5" t="s">
        <v>38</v>
      </c>
      <c r="B5" t="s">
        <v>32</v>
      </c>
      <c r="C5" t="s">
        <v>35</v>
      </c>
      <c r="D5" t="s">
        <v>33</v>
      </c>
      <c r="E5">
        <v>72.84</v>
      </c>
      <c r="F5">
        <v>82.08</v>
      </c>
      <c r="G5">
        <v>79.25</v>
      </c>
      <c r="H5">
        <v>93.13</v>
      </c>
      <c r="I5">
        <v>82.09</v>
      </c>
      <c r="J5">
        <v>83.59</v>
      </c>
      <c r="K5">
        <v>-1.5</v>
      </c>
      <c r="L5">
        <v>-15.72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0.1134</v>
      </c>
      <c r="V5">
        <v>5.04E-2</v>
      </c>
      <c r="W5">
        <v>5.5100000000000003E-2</v>
      </c>
      <c r="X5">
        <v>3.2899999999999999E-2</v>
      </c>
      <c r="Y5">
        <v>2.7099999999999999E-2</v>
      </c>
      <c r="Z5">
        <v>5.6599999999999998E-2</v>
      </c>
      <c r="AA5">
        <v>0.21890000000000001</v>
      </c>
      <c r="AB5">
        <v>0.1166</v>
      </c>
      <c r="AC5">
        <v>6.8699999999999997E-2</v>
      </c>
      <c r="AD5">
        <v>0.18179999999999999</v>
      </c>
      <c r="AE5">
        <v>0.4854</v>
      </c>
      <c r="AF5">
        <v>0.48430000000000001</v>
      </c>
    </row>
    <row r="6" spans="1:32" x14ac:dyDescent="0.25">
      <c r="A6" t="s">
        <v>39</v>
      </c>
      <c r="B6" t="s">
        <v>33</v>
      </c>
      <c r="C6" t="s">
        <v>37</v>
      </c>
      <c r="D6" t="s">
        <v>31</v>
      </c>
      <c r="E6">
        <v>79.069999999999993</v>
      </c>
      <c r="F6">
        <v>79.790000000000006</v>
      </c>
      <c r="G6">
        <v>70.47</v>
      </c>
      <c r="H6">
        <v>91.31</v>
      </c>
      <c r="I6">
        <v>79.790000000000006</v>
      </c>
      <c r="J6">
        <v>81.260000000000005</v>
      </c>
      <c r="K6">
        <v>-1.47</v>
      </c>
      <c r="L6">
        <v>-14.63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4.87E-2</v>
      </c>
      <c r="V6">
        <v>4.4200000000000003E-2</v>
      </c>
      <c r="W6">
        <v>0.11940000000000001</v>
      </c>
      <c r="X6">
        <v>2.7900000000000001E-2</v>
      </c>
      <c r="Y6">
        <v>4.3099999999999999E-2</v>
      </c>
      <c r="Z6">
        <v>4.5900000000000003E-2</v>
      </c>
      <c r="AA6">
        <v>0.21229999999999999</v>
      </c>
      <c r="AB6">
        <v>0.1169</v>
      </c>
      <c r="AC6">
        <v>8.6900000000000005E-2</v>
      </c>
      <c r="AD6">
        <v>0.14030000000000001</v>
      </c>
      <c r="AE6">
        <v>0.3926</v>
      </c>
      <c r="AF6">
        <v>0.40500000000000003</v>
      </c>
    </row>
    <row r="7" spans="1:32" x14ac:dyDescent="0.25">
      <c r="A7" t="s">
        <v>40</v>
      </c>
      <c r="B7" t="s">
        <v>31</v>
      </c>
      <c r="C7" t="s">
        <v>35</v>
      </c>
      <c r="D7" t="s">
        <v>33</v>
      </c>
      <c r="E7">
        <v>68.400000000000006</v>
      </c>
      <c r="F7">
        <v>72.88</v>
      </c>
      <c r="G7">
        <v>60.22</v>
      </c>
      <c r="H7">
        <v>91.36</v>
      </c>
      <c r="I7">
        <v>72.87</v>
      </c>
      <c r="J7">
        <v>73.929999999999993</v>
      </c>
      <c r="K7">
        <v>-1.06</v>
      </c>
      <c r="L7">
        <v>-6.08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U7">
        <v>8.2600000000000007E-2</v>
      </c>
      <c r="V7">
        <v>8.3400000000000002E-2</v>
      </c>
      <c r="W7">
        <v>0.1381</v>
      </c>
      <c r="X7">
        <v>3.7699999999999997E-2</v>
      </c>
      <c r="Y7">
        <v>6.3799999999999996E-2</v>
      </c>
      <c r="Z7">
        <v>0.1094</v>
      </c>
      <c r="AA7">
        <v>0.30409999999999998</v>
      </c>
      <c r="AB7">
        <v>0.2109</v>
      </c>
      <c r="AC7">
        <v>8.6400000000000005E-2</v>
      </c>
      <c r="AD7">
        <v>0.17349999999999999</v>
      </c>
      <c r="AE7">
        <v>0.51870000000000005</v>
      </c>
      <c r="AF7">
        <v>0.59719999999999995</v>
      </c>
    </row>
    <row r="8" spans="1:32" x14ac:dyDescent="0.25">
      <c r="A8" t="s">
        <v>41</v>
      </c>
      <c r="B8" t="s">
        <v>35</v>
      </c>
      <c r="C8" t="s">
        <v>32</v>
      </c>
      <c r="D8" t="s">
        <v>31</v>
      </c>
      <c r="E8">
        <v>80.989999999999995</v>
      </c>
      <c r="F8">
        <v>68.930000000000007</v>
      </c>
      <c r="G8">
        <v>76.66</v>
      </c>
      <c r="H8">
        <v>92.47999999999999</v>
      </c>
      <c r="I8">
        <v>80.959999999999994</v>
      </c>
      <c r="J8">
        <v>81.25</v>
      </c>
      <c r="K8">
        <v>-0.28999999999999998</v>
      </c>
      <c r="L8">
        <v>-2.58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U8">
        <v>5.1200000000000002E-2</v>
      </c>
      <c r="V8">
        <v>0.1384</v>
      </c>
      <c r="W8">
        <v>6.2399999999999997E-2</v>
      </c>
      <c r="X8">
        <v>3.2599999999999997E-2</v>
      </c>
      <c r="Y8">
        <v>6.4500000000000002E-2</v>
      </c>
      <c r="Z8">
        <v>3.1399999999999997E-2</v>
      </c>
      <c r="AA8">
        <v>0.252</v>
      </c>
      <c r="AB8">
        <v>0.1285</v>
      </c>
      <c r="AC8">
        <v>7.5200000000000003E-2</v>
      </c>
      <c r="AD8">
        <v>0.12609999999999999</v>
      </c>
      <c r="AE8">
        <v>0.50190000000000001</v>
      </c>
      <c r="AF8">
        <v>0.48799999999999999</v>
      </c>
    </row>
    <row r="9" spans="1:32" x14ac:dyDescent="0.25">
      <c r="A9" t="s">
        <v>42</v>
      </c>
      <c r="B9" t="s">
        <v>31</v>
      </c>
      <c r="C9" t="s">
        <v>33</v>
      </c>
      <c r="D9" t="s">
        <v>32</v>
      </c>
      <c r="E9">
        <v>70.209999999999994</v>
      </c>
      <c r="F9">
        <v>79.64</v>
      </c>
      <c r="G9">
        <v>68.290000000000006</v>
      </c>
      <c r="H9">
        <v>91.35</v>
      </c>
      <c r="I9">
        <v>79.66</v>
      </c>
      <c r="J9">
        <v>78.490000000000009</v>
      </c>
      <c r="K9">
        <v>1.17</v>
      </c>
      <c r="L9">
        <v>9.1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0.1115</v>
      </c>
      <c r="V9">
        <v>3.1899999999999998E-2</v>
      </c>
      <c r="W9">
        <v>0.1128</v>
      </c>
      <c r="X9">
        <v>3.3500000000000002E-2</v>
      </c>
      <c r="Y9">
        <v>5.1499999999999997E-2</v>
      </c>
      <c r="Z9">
        <v>6.6299999999999998E-2</v>
      </c>
      <c r="AA9">
        <v>0.25619999999999998</v>
      </c>
      <c r="AB9">
        <v>0.15129999999999999</v>
      </c>
      <c r="AC9">
        <v>8.6499999999999994E-2</v>
      </c>
      <c r="AD9">
        <v>0.15</v>
      </c>
      <c r="AE9">
        <v>0.43819999999999998</v>
      </c>
      <c r="AF9">
        <v>0.44319999999999998</v>
      </c>
    </row>
    <row r="10" spans="1:32" x14ac:dyDescent="0.25">
      <c r="A10" t="s">
        <v>43</v>
      </c>
      <c r="B10" t="s">
        <v>33</v>
      </c>
      <c r="C10" t="s">
        <v>35</v>
      </c>
      <c r="D10" t="s">
        <v>31</v>
      </c>
      <c r="E10">
        <v>76.48</v>
      </c>
      <c r="F10">
        <v>73.77</v>
      </c>
      <c r="G10">
        <v>69.53</v>
      </c>
      <c r="H10">
        <v>91.39</v>
      </c>
      <c r="I10">
        <v>76.48</v>
      </c>
      <c r="J10">
        <v>78.97999999999999</v>
      </c>
      <c r="K10">
        <v>-2.5</v>
      </c>
      <c r="L10">
        <v>-20.149999999999999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5.7000000000000002E-2</v>
      </c>
      <c r="V10">
        <v>8.6199999999999999E-2</v>
      </c>
      <c r="W10">
        <v>0.10680000000000001</v>
      </c>
      <c r="X10">
        <v>3.5299999999999998E-2</v>
      </c>
      <c r="Y10">
        <v>5.4800000000000001E-2</v>
      </c>
      <c r="Z10">
        <v>5.6800000000000003E-2</v>
      </c>
      <c r="AA10">
        <v>0.25</v>
      </c>
      <c r="AB10">
        <v>0.1469</v>
      </c>
      <c r="AC10">
        <v>8.6099999999999996E-2</v>
      </c>
      <c r="AD10">
        <v>0.1552</v>
      </c>
      <c r="AE10">
        <v>0.373</v>
      </c>
      <c r="AF10">
        <v>0.3836</v>
      </c>
    </row>
    <row r="11" spans="1:32" x14ac:dyDescent="0.25">
      <c r="A11" t="s">
        <v>44</v>
      </c>
      <c r="B11" t="s">
        <v>37</v>
      </c>
      <c r="C11" t="s">
        <v>31</v>
      </c>
      <c r="D11" t="s">
        <v>33</v>
      </c>
      <c r="E11">
        <v>74.05</v>
      </c>
      <c r="F11">
        <v>40.549999999999997</v>
      </c>
      <c r="G11">
        <v>71.290000000000006</v>
      </c>
      <c r="H11">
        <v>87.09</v>
      </c>
      <c r="I11">
        <v>74.050000000000011</v>
      </c>
      <c r="J11">
        <v>72.05</v>
      </c>
      <c r="K11">
        <v>2</v>
      </c>
      <c r="L11">
        <v>13.3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U11">
        <v>3.1899999999999998E-2</v>
      </c>
      <c r="V11">
        <v>0.30049999999999999</v>
      </c>
      <c r="W11">
        <v>3.15E-2</v>
      </c>
      <c r="X11">
        <v>6.8400000000000002E-2</v>
      </c>
      <c r="Y11">
        <v>9.6500000000000002E-2</v>
      </c>
      <c r="Z11">
        <v>3.0099999999999998E-2</v>
      </c>
      <c r="AA11">
        <v>0.3639</v>
      </c>
      <c r="AB11">
        <v>0.19500000000000001</v>
      </c>
      <c r="AC11">
        <v>0.12909999999999999</v>
      </c>
      <c r="AD11">
        <v>0.22869999999999999</v>
      </c>
      <c r="AE11">
        <v>0.49490000000000001</v>
      </c>
      <c r="AF11">
        <v>0.48799999999999999</v>
      </c>
    </row>
    <row r="12" spans="1:32" x14ac:dyDescent="0.25">
      <c r="A12" t="s">
        <v>45</v>
      </c>
      <c r="B12" t="s">
        <v>33</v>
      </c>
      <c r="C12" t="s">
        <v>32</v>
      </c>
      <c r="D12" t="s">
        <v>37</v>
      </c>
      <c r="E12">
        <v>73.36</v>
      </c>
      <c r="F12">
        <v>77.069999999999993</v>
      </c>
      <c r="G12">
        <v>76.150000000000006</v>
      </c>
      <c r="H12">
        <v>89.759999999999991</v>
      </c>
      <c r="I12">
        <v>76.149999999999991</v>
      </c>
      <c r="J12">
        <v>79.63</v>
      </c>
      <c r="K12">
        <v>-3.48</v>
      </c>
      <c r="L12">
        <v>-34.35</v>
      </c>
      <c r="N12">
        <v>1</v>
      </c>
      <c r="O12">
        <v>1</v>
      </c>
      <c r="P12">
        <v>1</v>
      </c>
      <c r="Q12">
        <v>0</v>
      </c>
      <c r="R12">
        <v>0</v>
      </c>
      <c r="S12">
        <v>1</v>
      </c>
      <c r="U12">
        <v>7.5700000000000003E-2</v>
      </c>
      <c r="V12">
        <v>5.21E-2</v>
      </c>
      <c r="W12">
        <v>5.3900000000000003E-2</v>
      </c>
      <c r="X12">
        <v>4.0599999999999997E-2</v>
      </c>
      <c r="Y12">
        <v>3.4200000000000001E-2</v>
      </c>
      <c r="Z12">
        <v>4.8000000000000001E-2</v>
      </c>
      <c r="AA12">
        <v>0.1817</v>
      </c>
      <c r="AB12">
        <v>0.12280000000000001</v>
      </c>
      <c r="AC12">
        <v>0.1024</v>
      </c>
      <c r="AD12">
        <v>0.17510000000000001</v>
      </c>
      <c r="AE12">
        <v>0.3306</v>
      </c>
      <c r="AF12">
        <v>0.32079999999999997</v>
      </c>
    </row>
    <row r="13" spans="1:32" x14ac:dyDescent="0.25">
      <c r="A13" t="s">
        <v>46</v>
      </c>
      <c r="B13" t="s">
        <v>32</v>
      </c>
      <c r="C13" t="s">
        <v>37</v>
      </c>
      <c r="D13" t="s">
        <v>31</v>
      </c>
      <c r="E13">
        <v>65.41</v>
      </c>
      <c r="F13">
        <v>65.17</v>
      </c>
      <c r="G13">
        <v>68.33</v>
      </c>
      <c r="H13">
        <v>85.399999999999991</v>
      </c>
      <c r="I13">
        <v>68.33</v>
      </c>
      <c r="J13">
        <v>71.099999999999994</v>
      </c>
      <c r="K13">
        <v>-2.77</v>
      </c>
      <c r="L13">
        <v>-19.37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U13">
        <v>1.54E-2</v>
      </c>
      <c r="V13">
        <v>1.5800000000000002E-2</v>
      </c>
      <c r="W13">
        <v>1.5599999999999999E-2</v>
      </c>
      <c r="X13">
        <v>1.5599999999999999E-2</v>
      </c>
      <c r="Y13">
        <v>9.4999999999999998E-3</v>
      </c>
      <c r="Z13">
        <v>9.4000000000000004E-3</v>
      </c>
      <c r="AA13">
        <v>4.6800000000000001E-2</v>
      </c>
      <c r="AB13">
        <v>3.4500000000000003E-2</v>
      </c>
      <c r="AC13">
        <v>2.9499999999999998E-2</v>
      </c>
      <c r="AD13">
        <v>0.1623</v>
      </c>
      <c r="AE13">
        <v>0.45219999999999999</v>
      </c>
      <c r="AF13">
        <v>0.44290000000000002</v>
      </c>
    </row>
    <row r="14" spans="1:32" x14ac:dyDescent="0.25">
      <c r="A14" t="s">
        <v>47</v>
      </c>
      <c r="B14" t="s">
        <v>37</v>
      </c>
      <c r="C14" t="s">
        <v>35</v>
      </c>
      <c r="D14" t="s">
        <v>32</v>
      </c>
      <c r="E14">
        <v>66</v>
      </c>
      <c r="F14">
        <v>75.7</v>
      </c>
      <c r="G14">
        <v>65.7</v>
      </c>
      <c r="H14">
        <v>86.7</v>
      </c>
      <c r="I14">
        <v>75.7</v>
      </c>
      <c r="J14">
        <v>74.25</v>
      </c>
      <c r="K14">
        <v>1.45</v>
      </c>
      <c r="L14">
        <v>11.65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1.7000000000000001E-2</v>
      </c>
      <c r="V14">
        <v>7.9000000000000008E-3</v>
      </c>
      <c r="W14">
        <v>1.7899999999999999E-2</v>
      </c>
      <c r="X14">
        <v>7.1999999999999998E-3</v>
      </c>
      <c r="Y14">
        <v>6.8999999999999999E-3</v>
      </c>
      <c r="Z14">
        <v>1.72E-2</v>
      </c>
      <c r="AA14">
        <v>4.2799999999999998E-2</v>
      </c>
      <c r="AB14">
        <v>3.1300000000000001E-2</v>
      </c>
      <c r="AC14">
        <v>2.6599999999999999E-2</v>
      </c>
      <c r="AD14">
        <v>0.20449999999999999</v>
      </c>
      <c r="AE14">
        <v>0.54949999999999999</v>
      </c>
      <c r="AF14">
        <v>0.57030000000000003</v>
      </c>
    </row>
    <row r="16" spans="1:32" x14ac:dyDescent="0.25">
      <c r="A16" t="s">
        <v>48</v>
      </c>
      <c r="B16" t="s">
        <v>35</v>
      </c>
      <c r="C16" t="s">
        <v>37</v>
      </c>
      <c r="D16" t="s">
        <v>31</v>
      </c>
      <c r="E16">
        <v>82.97</v>
      </c>
      <c r="F16">
        <v>79.92</v>
      </c>
      <c r="G16">
        <v>80.16</v>
      </c>
      <c r="H16">
        <v>94.03</v>
      </c>
      <c r="I16">
        <v>82.95</v>
      </c>
      <c r="J16">
        <v>85.49</v>
      </c>
      <c r="K16">
        <v>-2.54</v>
      </c>
      <c r="L16">
        <v>-29.74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U16">
        <v>4.7800000000000002E-2</v>
      </c>
      <c r="V16">
        <v>7.3300000000000004E-2</v>
      </c>
      <c r="W16">
        <v>6.6500000000000004E-2</v>
      </c>
      <c r="X16">
        <v>2.93E-2</v>
      </c>
      <c r="Y16">
        <v>3.85E-2</v>
      </c>
      <c r="Z16">
        <v>3.3700000000000001E-2</v>
      </c>
      <c r="AA16">
        <v>0.18759999999999999</v>
      </c>
      <c r="AB16">
        <v>0.10150000000000001</v>
      </c>
      <c r="AC16">
        <v>5.9700000000000003E-2</v>
      </c>
      <c r="AD16">
        <v>0.15859999999999999</v>
      </c>
      <c r="AE16">
        <v>0.37930000000000003</v>
      </c>
      <c r="AF16">
        <v>0.39229999999999998</v>
      </c>
    </row>
    <row r="17" spans="1:32" x14ac:dyDescent="0.25">
      <c r="A17" t="s">
        <v>49</v>
      </c>
      <c r="B17" t="s">
        <v>33</v>
      </c>
      <c r="C17" t="s">
        <v>32</v>
      </c>
      <c r="D17" t="s">
        <v>37</v>
      </c>
      <c r="E17">
        <v>79.63</v>
      </c>
      <c r="F17">
        <v>78.53</v>
      </c>
      <c r="G17">
        <v>79.92</v>
      </c>
      <c r="H17">
        <v>92.01</v>
      </c>
      <c r="I17">
        <v>79.92</v>
      </c>
      <c r="J17">
        <v>83.06</v>
      </c>
      <c r="K17">
        <v>-3.14</v>
      </c>
      <c r="L17">
        <v>-35.08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U17">
        <v>5.8599999999999999E-2</v>
      </c>
      <c r="V17">
        <v>5.7700000000000001E-2</v>
      </c>
      <c r="W17">
        <v>5.3999999999999999E-2</v>
      </c>
      <c r="X17">
        <v>3.7699999999999997E-2</v>
      </c>
      <c r="Y17">
        <v>3.9399999999999998E-2</v>
      </c>
      <c r="Z17">
        <v>2.75E-2</v>
      </c>
      <c r="AA17">
        <v>0.17030000000000001</v>
      </c>
      <c r="AB17">
        <v>0.1046</v>
      </c>
      <c r="AC17">
        <v>7.9899999999999999E-2</v>
      </c>
      <c r="AD17">
        <v>0.1444</v>
      </c>
      <c r="AE17">
        <v>0.3604</v>
      </c>
      <c r="AF17">
        <v>0.3553</v>
      </c>
    </row>
    <row r="18" spans="1:32" x14ac:dyDescent="0.25">
      <c r="A18" t="s">
        <v>50</v>
      </c>
      <c r="B18" t="s">
        <v>37</v>
      </c>
      <c r="C18" t="s">
        <v>33</v>
      </c>
      <c r="D18" t="s">
        <v>32</v>
      </c>
      <c r="E18">
        <v>81.36</v>
      </c>
      <c r="F18">
        <v>80.41</v>
      </c>
      <c r="G18">
        <v>78.53</v>
      </c>
      <c r="H18">
        <v>92.210000000000008</v>
      </c>
      <c r="I18">
        <v>81.36</v>
      </c>
      <c r="J18">
        <v>83.37</v>
      </c>
      <c r="K18">
        <v>-2.0099999999999998</v>
      </c>
      <c r="L18">
        <v>-22.74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4.3499999999999997E-2</v>
      </c>
      <c r="V18">
        <v>5.2499999999999998E-2</v>
      </c>
      <c r="W18">
        <v>6.2600000000000003E-2</v>
      </c>
      <c r="X18">
        <v>2.81E-2</v>
      </c>
      <c r="Y18">
        <v>3.73E-2</v>
      </c>
      <c r="Z18">
        <v>3.6900000000000002E-2</v>
      </c>
      <c r="AA18">
        <v>0.15859999999999999</v>
      </c>
      <c r="AB18">
        <v>0.1023</v>
      </c>
      <c r="AC18">
        <v>7.7899999999999997E-2</v>
      </c>
      <c r="AD18">
        <v>0.13589999999999999</v>
      </c>
      <c r="AE18">
        <v>0.36459999999999998</v>
      </c>
      <c r="AF18">
        <v>0.36649999999999999</v>
      </c>
    </row>
    <row r="19" spans="1:32" x14ac:dyDescent="0.25">
      <c r="A19" t="s">
        <v>51</v>
      </c>
      <c r="B19" t="s">
        <v>31</v>
      </c>
      <c r="C19" t="s">
        <v>35</v>
      </c>
      <c r="D19" t="s">
        <v>32</v>
      </c>
      <c r="E19">
        <v>70.47</v>
      </c>
      <c r="F19">
        <v>86.08</v>
      </c>
      <c r="G19">
        <v>78.53</v>
      </c>
      <c r="H19">
        <v>93.289999999999992</v>
      </c>
      <c r="I19">
        <v>86.08</v>
      </c>
      <c r="J19">
        <v>82.87</v>
      </c>
      <c r="K19">
        <v>3.21</v>
      </c>
      <c r="L19">
        <v>30.81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0.1255</v>
      </c>
      <c r="V19">
        <v>2.75E-2</v>
      </c>
      <c r="W19">
        <v>5.4100000000000002E-2</v>
      </c>
      <c r="X19">
        <v>2.69E-2</v>
      </c>
      <c r="Y19">
        <v>1.77E-2</v>
      </c>
      <c r="Z19">
        <v>7.5800000000000006E-2</v>
      </c>
      <c r="AA19">
        <v>0.20710000000000001</v>
      </c>
      <c r="AB19">
        <v>0.12039999999999999</v>
      </c>
      <c r="AC19">
        <v>6.7100000000000007E-2</v>
      </c>
      <c r="AD19">
        <v>0.1346</v>
      </c>
      <c r="AE19">
        <v>0.62960000000000005</v>
      </c>
      <c r="AF19">
        <v>0.64680000000000004</v>
      </c>
    </row>
    <row r="20" spans="1:32" x14ac:dyDescent="0.25">
      <c r="A20" t="s">
        <v>52</v>
      </c>
      <c r="B20" t="s">
        <v>35</v>
      </c>
      <c r="C20" t="s">
        <v>31</v>
      </c>
      <c r="D20" t="s">
        <v>32</v>
      </c>
      <c r="E20">
        <v>72.88</v>
      </c>
      <c r="F20">
        <v>80.16</v>
      </c>
      <c r="G20">
        <v>78.53</v>
      </c>
      <c r="H20">
        <v>92.99</v>
      </c>
      <c r="I20">
        <v>80.16</v>
      </c>
      <c r="J20">
        <v>82.98</v>
      </c>
      <c r="K20">
        <v>-2.82</v>
      </c>
      <c r="L20">
        <v>-28.17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U20">
        <v>0.1109</v>
      </c>
      <c r="V20">
        <v>5.3699999999999998E-2</v>
      </c>
      <c r="W20">
        <v>5.8099999999999999E-2</v>
      </c>
      <c r="X20">
        <v>3.9199999999999999E-2</v>
      </c>
      <c r="Y20">
        <v>3.5400000000000001E-2</v>
      </c>
      <c r="Z20">
        <v>5.11E-2</v>
      </c>
      <c r="AA20">
        <v>0.22270000000000001</v>
      </c>
      <c r="AB20">
        <v>0.12570000000000001</v>
      </c>
      <c r="AC20">
        <v>7.0099999999999996E-2</v>
      </c>
      <c r="AD20">
        <v>0.20369999999999999</v>
      </c>
      <c r="AE20">
        <v>0.40649999999999997</v>
      </c>
      <c r="AF20">
        <v>0.3856</v>
      </c>
    </row>
    <row r="21" spans="1:32" x14ac:dyDescent="0.25">
      <c r="A21" t="s">
        <v>53</v>
      </c>
      <c r="B21" t="s">
        <v>37</v>
      </c>
      <c r="C21" t="s">
        <v>33</v>
      </c>
      <c r="D21" t="s">
        <v>35</v>
      </c>
      <c r="E21">
        <v>79.09</v>
      </c>
      <c r="F21">
        <v>80.41</v>
      </c>
      <c r="G21">
        <v>86.08</v>
      </c>
      <c r="H21">
        <v>93.69</v>
      </c>
      <c r="I21">
        <v>86.08</v>
      </c>
      <c r="J21">
        <v>85.63</v>
      </c>
      <c r="K21">
        <v>0.45</v>
      </c>
      <c r="L21">
        <v>5.58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7.6399999999999996E-2</v>
      </c>
      <c r="V21">
        <v>6.2E-2</v>
      </c>
      <c r="W21">
        <v>2.9700000000000001E-2</v>
      </c>
      <c r="X21">
        <v>4.6899999999999997E-2</v>
      </c>
      <c r="Y21">
        <v>2.3800000000000002E-2</v>
      </c>
      <c r="Z21">
        <v>2.2599999999999999E-2</v>
      </c>
      <c r="AA21">
        <v>0.1681</v>
      </c>
      <c r="AB21">
        <v>9.3299999999999994E-2</v>
      </c>
      <c r="AC21">
        <v>6.3100000000000003E-2</v>
      </c>
      <c r="AD21">
        <v>0.1361</v>
      </c>
      <c r="AE21">
        <v>0.50270000000000004</v>
      </c>
      <c r="AF21">
        <v>0.51359999999999995</v>
      </c>
    </row>
    <row r="22" spans="1:32" x14ac:dyDescent="0.25">
      <c r="A22" t="s">
        <v>54</v>
      </c>
      <c r="B22" t="s">
        <v>35</v>
      </c>
      <c r="C22" t="s">
        <v>32</v>
      </c>
      <c r="D22" t="s">
        <v>31</v>
      </c>
      <c r="E22">
        <v>75.87</v>
      </c>
      <c r="F22">
        <v>78.53</v>
      </c>
      <c r="G22">
        <v>80.16</v>
      </c>
      <c r="H22">
        <v>92.97</v>
      </c>
      <c r="I22">
        <v>80.16</v>
      </c>
      <c r="J22">
        <v>82.83</v>
      </c>
      <c r="K22">
        <v>-2.67</v>
      </c>
      <c r="L22">
        <v>-26.33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8.7999999999999995E-2</v>
      </c>
      <c r="V22">
        <v>6.59E-2</v>
      </c>
      <c r="W22">
        <v>5.3400000000000003E-2</v>
      </c>
      <c r="X22">
        <v>4.3299999999999998E-2</v>
      </c>
      <c r="Y22">
        <v>3.5200000000000002E-2</v>
      </c>
      <c r="Z22">
        <v>3.95E-2</v>
      </c>
      <c r="AA22">
        <v>0.20730000000000001</v>
      </c>
      <c r="AB22">
        <v>0.11799999999999999</v>
      </c>
      <c r="AC22">
        <v>7.0300000000000001E-2</v>
      </c>
      <c r="AD22">
        <v>0.14069999999999999</v>
      </c>
      <c r="AE22">
        <v>0.3669</v>
      </c>
      <c r="AF22">
        <v>0.3826</v>
      </c>
    </row>
    <row r="23" spans="1:32" x14ac:dyDescent="0.25">
      <c r="A23" t="s">
        <v>55</v>
      </c>
      <c r="B23" t="s">
        <v>33</v>
      </c>
      <c r="C23" t="s">
        <v>37</v>
      </c>
      <c r="D23" t="s">
        <v>32</v>
      </c>
      <c r="E23">
        <v>76.48</v>
      </c>
      <c r="F23">
        <v>79.92</v>
      </c>
      <c r="G23">
        <v>78.53</v>
      </c>
      <c r="H23">
        <v>91.490000000000009</v>
      </c>
      <c r="I23">
        <v>79.92</v>
      </c>
      <c r="J23">
        <v>82.03</v>
      </c>
      <c r="K23">
        <v>-2.11</v>
      </c>
      <c r="L23">
        <v>-22.3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7.3999999999999996E-2</v>
      </c>
      <c r="V23">
        <v>4.8000000000000001E-2</v>
      </c>
      <c r="W23">
        <v>5.28E-2</v>
      </c>
      <c r="X23">
        <v>3.3500000000000002E-2</v>
      </c>
      <c r="Y23">
        <v>3.4200000000000001E-2</v>
      </c>
      <c r="Z23">
        <v>4.2599999999999999E-2</v>
      </c>
      <c r="AA23">
        <v>0.17480000000000001</v>
      </c>
      <c r="AB23">
        <v>0.1103</v>
      </c>
      <c r="AC23">
        <v>8.5099999999999995E-2</v>
      </c>
      <c r="AD23">
        <v>0.14230000000000001</v>
      </c>
      <c r="AE23">
        <v>0.38619999999999999</v>
      </c>
      <c r="AF23">
        <v>0.37</v>
      </c>
    </row>
    <row r="24" spans="1:32" x14ac:dyDescent="0.25">
      <c r="A24" t="s">
        <v>56</v>
      </c>
      <c r="B24" t="s">
        <v>33</v>
      </c>
      <c r="C24" t="s">
        <v>37</v>
      </c>
      <c r="D24" t="s">
        <v>31</v>
      </c>
      <c r="E24">
        <v>71.290000000000006</v>
      </c>
      <c r="F24">
        <v>79.92</v>
      </c>
      <c r="G24">
        <v>80.16</v>
      </c>
      <c r="H24">
        <v>92.45</v>
      </c>
      <c r="I24">
        <v>80.16</v>
      </c>
      <c r="J24">
        <v>82.320000000000007</v>
      </c>
      <c r="K24">
        <v>-2.16</v>
      </c>
      <c r="L24">
        <v>-21.32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U24">
        <v>0.1124</v>
      </c>
      <c r="V24">
        <v>5.0799999999999998E-2</v>
      </c>
      <c r="W24">
        <v>5.2699999999999997E-2</v>
      </c>
      <c r="X24">
        <v>5.1799999999999999E-2</v>
      </c>
      <c r="Y24">
        <v>2.2700000000000001E-2</v>
      </c>
      <c r="Z24">
        <v>4.7500000000000001E-2</v>
      </c>
      <c r="AA24">
        <v>0.21590000000000001</v>
      </c>
      <c r="AB24">
        <v>0.122</v>
      </c>
      <c r="AC24">
        <v>7.5499999999999998E-2</v>
      </c>
      <c r="AD24">
        <v>0.16969999999999999</v>
      </c>
      <c r="AE24">
        <v>0.42459999999999998</v>
      </c>
      <c r="AF24">
        <v>0.42049999999999998</v>
      </c>
    </row>
    <row r="25" spans="1:32" x14ac:dyDescent="0.25">
      <c r="A25" t="s">
        <v>57</v>
      </c>
      <c r="B25" t="s">
        <v>32</v>
      </c>
      <c r="C25" t="s">
        <v>35</v>
      </c>
      <c r="D25" t="s">
        <v>33</v>
      </c>
      <c r="E25">
        <v>77.069999999999993</v>
      </c>
      <c r="F25">
        <v>86.08</v>
      </c>
      <c r="G25">
        <v>80.41</v>
      </c>
      <c r="H25">
        <v>93.61</v>
      </c>
      <c r="I25">
        <v>86.08</v>
      </c>
      <c r="J25">
        <v>85.19</v>
      </c>
      <c r="K25">
        <v>0.89</v>
      </c>
      <c r="L25">
        <v>10.57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U25">
        <v>8.9899999999999994E-2</v>
      </c>
      <c r="V25">
        <v>2.9000000000000001E-2</v>
      </c>
      <c r="W25">
        <v>5.67E-2</v>
      </c>
      <c r="X25">
        <v>2.3300000000000001E-2</v>
      </c>
      <c r="Y25">
        <v>2.3E-2</v>
      </c>
      <c r="Z25">
        <v>5.2200000000000003E-2</v>
      </c>
      <c r="AA25">
        <v>0.17560000000000001</v>
      </c>
      <c r="AB25">
        <v>9.8500000000000004E-2</v>
      </c>
      <c r="AC25">
        <v>6.3899999999999998E-2</v>
      </c>
      <c r="AD25">
        <v>0.1452</v>
      </c>
      <c r="AE25">
        <v>0.52990000000000004</v>
      </c>
      <c r="AF25">
        <v>0.53210000000000002</v>
      </c>
    </row>
    <row r="27" spans="1:32" x14ac:dyDescent="0.25">
      <c r="I27">
        <f>SUM(I2:I25)/COUNTA(I2:I25)</f>
        <v>79.738695652173917</v>
      </c>
      <c r="J27">
        <f t="shared" ref="J27:AF27" si="0">SUM(J2:J25)/COUNTA(J2:J25)</f>
        <v>80.875217391304346</v>
      </c>
      <c r="K27">
        <f t="shared" si="0"/>
        <v>-1.1365217391304347</v>
      </c>
      <c r="L27">
        <f t="shared" si="0"/>
        <v>-11.683043478260871</v>
      </c>
      <c r="M27" t="e">
        <f t="shared" si="0"/>
        <v>#DIV/0!</v>
      </c>
      <c r="N27">
        <f t="shared" si="0"/>
        <v>0.73913043478260865</v>
      </c>
      <c r="O27">
        <f t="shared" si="0"/>
        <v>1</v>
      </c>
      <c r="P27">
        <f t="shared" si="0"/>
        <v>1</v>
      </c>
      <c r="Q27">
        <f t="shared" si="0"/>
        <v>0.69565217391304346</v>
      </c>
      <c r="R27">
        <f t="shared" si="0"/>
        <v>0.95652173913043481</v>
      </c>
      <c r="S27">
        <f t="shared" si="0"/>
        <v>1</v>
      </c>
      <c r="T27" t="e">
        <f t="shared" si="0"/>
        <v>#DIV/0!</v>
      </c>
      <c r="U27">
        <f t="shared" si="0"/>
        <v>7.2478260869565228E-2</v>
      </c>
      <c r="V27">
        <f t="shared" si="0"/>
        <v>6.4243478260869583E-2</v>
      </c>
      <c r="W27">
        <f t="shared" si="0"/>
        <v>6.5947826086956512E-2</v>
      </c>
      <c r="X27">
        <f t="shared" si="0"/>
        <v>3.4182608695652171E-2</v>
      </c>
      <c r="Y27">
        <f t="shared" si="0"/>
        <v>3.7843478260869576E-2</v>
      </c>
      <c r="Z27">
        <f t="shared" si="0"/>
        <v>4.5186956521739124E-2</v>
      </c>
      <c r="AA27">
        <f t="shared" si="0"/>
        <v>0.20266956521739141</v>
      </c>
      <c r="AB27">
        <f t="shared" si="0"/>
        <v>0.11721304347826089</v>
      </c>
      <c r="AC27">
        <f t="shared" si="0"/>
        <v>7.4073913043478254E-2</v>
      </c>
      <c r="AD27">
        <f t="shared" si="0"/>
        <v>0.16078260869565214</v>
      </c>
      <c r="AE27">
        <f t="shared" si="0"/>
        <v>0.44344347826086961</v>
      </c>
      <c r="AF27">
        <f t="shared" si="0"/>
        <v>0.44695652173913042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33</v>
      </c>
      <c r="D2" t="s">
        <v>35</v>
      </c>
      <c r="E2">
        <v>97.6</v>
      </c>
      <c r="F2">
        <v>94.75</v>
      </c>
      <c r="G2">
        <v>97.59</v>
      </c>
      <c r="H2">
        <v>98.94</v>
      </c>
      <c r="I2">
        <v>97.6</v>
      </c>
      <c r="J2">
        <v>97.52</v>
      </c>
      <c r="K2">
        <v>0.08</v>
      </c>
      <c r="L2">
        <v>5.63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U2">
        <v>2.8E-3</v>
      </c>
      <c r="V2">
        <v>2.7799999999999998E-2</v>
      </c>
      <c r="W2">
        <v>5.4000000000000003E-3</v>
      </c>
      <c r="X2">
        <v>8.3999999999999995E-3</v>
      </c>
      <c r="Y2">
        <v>5.7999999999999996E-3</v>
      </c>
      <c r="Z2">
        <v>2.2000000000000001E-3</v>
      </c>
      <c r="AA2">
        <v>3.5999999999999997E-2</v>
      </c>
      <c r="AB2">
        <v>1.6400000000000001E-2</v>
      </c>
      <c r="AC2">
        <v>1.06E-2</v>
      </c>
      <c r="AD2">
        <v>0.12920000000000001</v>
      </c>
      <c r="AE2">
        <v>0.51119999999999999</v>
      </c>
      <c r="AF2">
        <v>0.5161</v>
      </c>
    </row>
    <row r="3" spans="1:32" x14ac:dyDescent="0.25">
      <c r="A3" t="s">
        <v>34</v>
      </c>
      <c r="B3" t="s">
        <v>33</v>
      </c>
      <c r="C3" t="s">
        <v>31</v>
      </c>
      <c r="D3" t="s">
        <v>37</v>
      </c>
      <c r="E3">
        <v>88.94</v>
      </c>
      <c r="F3">
        <v>94.28</v>
      </c>
      <c r="G3">
        <v>95.84</v>
      </c>
      <c r="H3">
        <v>98.18</v>
      </c>
      <c r="I3">
        <v>95.84</v>
      </c>
      <c r="J3">
        <v>96</v>
      </c>
      <c r="K3">
        <v>-0.16</v>
      </c>
      <c r="L3">
        <v>-7.34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7.0000000000000007E-2</v>
      </c>
      <c r="V3">
        <v>0.02</v>
      </c>
      <c r="W3">
        <v>1.35E-2</v>
      </c>
      <c r="X3">
        <v>1.5699999999999999E-2</v>
      </c>
      <c r="Y3">
        <v>3.3E-3</v>
      </c>
      <c r="Z3">
        <v>6.6E-3</v>
      </c>
      <c r="AA3">
        <v>0.10349999999999999</v>
      </c>
      <c r="AB3">
        <v>2.5600000000000001E-2</v>
      </c>
      <c r="AC3">
        <v>1.8200000000000001E-2</v>
      </c>
      <c r="AD3">
        <v>0.15049999999999999</v>
      </c>
      <c r="AE3">
        <v>0.6129</v>
      </c>
      <c r="AF3">
        <v>0.65400000000000003</v>
      </c>
    </row>
    <row r="4" spans="1:32" x14ac:dyDescent="0.25">
      <c r="A4" t="s">
        <v>36</v>
      </c>
      <c r="B4" t="s">
        <v>35</v>
      </c>
      <c r="C4" t="s">
        <v>31</v>
      </c>
      <c r="D4" t="s">
        <v>37</v>
      </c>
      <c r="E4">
        <v>93.46</v>
      </c>
      <c r="F4">
        <v>96.02</v>
      </c>
      <c r="G4">
        <v>96.42</v>
      </c>
      <c r="H4">
        <v>98.36</v>
      </c>
      <c r="I4">
        <v>96.419999999999987</v>
      </c>
      <c r="J4">
        <v>97.25</v>
      </c>
      <c r="K4">
        <v>-0.83</v>
      </c>
      <c r="L4">
        <v>-74.77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U4">
        <v>3.6900000000000002E-2</v>
      </c>
      <c r="V4">
        <v>1.52E-2</v>
      </c>
      <c r="W4">
        <v>7.3000000000000001E-3</v>
      </c>
      <c r="X4">
        <v>4.1000000000000003E-3</v>
      </c>
      <c r="Y4">
        <v>4.1000000000000003E-3</v>
      </c>
      <c r="Z4">
        <v>8.0000000000000002E-3</v>
      </c>
      <c r="AA4">
        <v>5.9400000000000001E-2</v>
      </c>
      <c r="AB4">
        <v>1.6199999999999999E-2</v>
      </c>
      <c r="AC4">
        <v>1.6400000000000001E-2</v>
      </c>
      <c r="AD4">
        <v>0.31640000000000001</v>
      </c>
      <c r="AE4">
        <v>0.25419999999999998</v>
      </c>
      <c r="AF4">
        <v>0.21490000000000001</v>
      </c>
    </row>
    <row r="5" spans="1:32" x14ac:dyDescent="0.25">
      <c r="A5" t="s">
        <v>38</v>
      </c>
      <c r="B5" t="s">
        <v>37</v>
      </c>
      <c r="C5" t="s">
        <v>31</v>
      </c>
      <c r="D5" t="s">
        <v>33</v>
      </c>
      <c r="E5">
        <v>97.3</v>
      </c>
      <c r="F5">
        <v>93.99</v>
      </c>
      <c r="G5">
        <v>85.42</v>
      </c>
      <c r="H5">
        <v>98.78</v>
      </c>
      <c r="I5">
        <v>97.3</v>
      </c>
      <c r="J5">
        <v>96.37</v>
      </c>
      <c r="K5">
        <v>0.93</v>
      </c>
      <c r="L5">
        <v>38.590000000000003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U5">
        <v>2.2000000000000001E-3</v>
      </c>
      <c r="V5">
        <v>2.9899999999999999E-2</v>
      </c>
      <c r="W5">
        <v>0.1099</v>
      </c>
      <c r="X5">
        <v>3.5999999999999999E-3</v>
      </c>
      <c r="Y5">
        <v>1.44E-2</v>
      </c>
      <c r="Z5">
        <v>8.9999999999999993E-3</v>
      </c>
      <c r="AA5">
        <v>0.14199999999999999</v>
      </c>
      <c r="AB5">
        <v>2.7E-2</v>
      </c>
      <c r="AC5">
        <v>1.2200000000000001E-2</v>
      </c>
      <c r="AD5">
        <v>0.10879999999999999</v>
      </c>
      <c r="AE5">
        <v>0.53400000000000003</v>
      </c>
      <c r="AF5">
        <v>0.50380000000000003</v>
      </c>
    </row>
    <row r="6" spans="1:32" x14ac:dyDescent="0.25">
      <c r="A6" t="s">
        <v>39</v>
      </c>
      <c r="B6" t="s">
        <v>33</v>
      </c>
      <c r="C6" t="s">
        <v>31</v>
      </c>
      <c r="D6" t="s">
        <v>37</v>
      </c>
      <c r="E6">
        <v>85.5</v>
      </c>
      <c r="F6">
        <v>94.48</v>
      </c>
      <c r="G6">
        <v>97.03</v>
      </c>
      <c r="H6">
        <v>98.460000000000008</v>
      </c>
      <c r="I6">
        <v>97.03</v>
      </c>
      <c r="J6">
        <v>96.37</v>
      </c>
      <c r="K6">
        <v>0.66</v>
      </c>
      <c r="L6">
        <v>31.58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U6">
        <v>0.1066</v>
      </c>
      <c r="V6">
        <v>1.7000000000000001E-2</v>
      </c>
      <c r="W6">
        <v>5.7000000000000002E-3</v>
      </c>
      <c r="X6">
        <v>1.8599999999999998E-2</v>
      </c>
      <c r="Y6">
        <v>4.1999999999999997E-3</v>
      </c>
      <c r="Z6">
        <v>4.3E-3</v>
      </c>
      <c r="AA6">
        <v>0.1293</v>
      </c>
      <c r="AB6">
        <v>2.7099999999999999E-2</v>
      </c>
      <c r="AC6">
        <v>1.54E-2</v>
      </c>
      <c r="AD6">
        <v>0.23050000000000001</v>
      </c>
      <c r="AE6">
        <v>0.68469999999999998</v>
      </c>
      <c r="AF6">
        <v>0.72689999999999999</v>
      </c>
    </row>
    <row r="7" spans="1:32" x14ac:dyDescent="0.25">
      <c r="A7" t="s">
        <v>40</v>
      </c>
      <c r="B7" t="s">
        <v>32</v>
      </c>
      <c r="C7" t="s">
        <v>37</v>
      </c>
      <c r="D7" t="s">
        <v>31</v>
      </c>
      <c r="E7">
        <v>92.51</v>
      </c>
      <c r="F7">
        <v>96.38</v>
      </c>
      <c r="G7">
        <v>84.8</v>
      </c>
      <c r="H7">
        <v>97.72999999999999</v>
      </c>
      <c r="I7">
        <v>96.38</v>
      </c>
      <c r="J7">
        <v>95</v>
      </c>
      <c r="K7">
        <v>1.38</v>
      </c>
      <c r="L7">
        <v>50.55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U7">
        <v>2.5100000000000001E-2</v>
      </c>
      <c r="V7">
        <v>4.4999999999999997E-3</v>
      </c>
      <c r="W7">
        <v>0.10100000000000001</v>
      </c>
      <c r="X7">
        <v>3.8999999999999998E-3</v>
      </c>
      <c r="Y7">
        <v>5.1000000000000004E-3</v>
      </c>
      <c r="Z7">
        <v>2.3300000000000001E-2</v>
      </c>
      <c r="AA7">
        <v>0.13059999999999999</v>
      </c>
      <c r="AB7">
        <v>3.2300000000000002E-2</v>
      </c>
      <c r="AC7">
        <v>2.2700000000000001E-2</v>
      </c>
      <c r="AD7">
        <v>0.15379999999999999</v>
      </c>
      <c r="AE7">
        <v>0.7208</v>
      </c>
      <c r="AF7">
        <v>0.72729999999999995</v>
      </c>
    </row>
    <row r="8" spans="1:32" x14ac:dyDescent="0.25">
      <c r="A8" t="s">
        <v>41</v>
      </c>
      <c r="B8" t="s">
        <v>37</v>
      </c>
      <c r="C8" t="s">
        <v>31</v>
      </c>
      <c r="D8" t="s">
        <v>32</v>
      </c>
      <c r="E8">
        <v>97.07</v>
      </c>
      <c r="F8">
        <v>96.87</v>
      </c>
      <c r="G8">
        <v>95.76</v>
      </c>
      <c r="H8">
        <v>98.94</v>
      </c>
      <c r="I8">
        <v>95.76</v>
      </c>
      <c r="J8">
        <v>97.330000000000013</v>
      </c>
      <c r="K8">
        <v>-1.57</v>
      </c>
      <c r="L8">
        <v>-97.52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U8">
        <v>9.7000000000000003E-3</v>
      </c>
      <c r="V8">
        <v>1.0699999999999999E-2</v>
      </c>
      <c r="W8">
        <v>1.5800000000000002E-2</v>
      </c>
      <c r="X8">
        <v>1.6000000000000001E-3</v>
      </c>
      <c r="Y8">
        <v>8.5000000000000006E-3</v>
      </c>
      <c r="Z8">
        <v>7.4000000000000003E-3</v>
      </c>
      <c r="AA8">
        <v>3.6200000000000003E-2</v>
      </c>
      <c r="AB8">
        <v>1.7500000000000002E-2</v>
      </c>
      <c r="AC8">
        <v>1.06E-2</v>
      </c>
      <c r="AD8">
        <v>8.3799999999999999E-2</v>
      </c>
      <c r="AE8">
        <v>8.8999999999999996E-2</v>
      </c>
      <c r="AF8">
        <v>9.1399999999999995E-2</v>
      </c>
    </row>
    <row r="9" spans="1:32" x14ac:dyDescent="0.25">
      <c r="A9" t="s">
        <v>42</v>
      </c>
      <c r="B9" t="s">
        <v>31</v>
      </c>
      <c r="C9" t="s">
        <v>35</v>
      </c>
      <c r="D9" t="s">
        <v>33</v>
      </c>
      <c r="E9">
        <v>94.84</v>
      </c>
      <c r="F9">
        <v>96.55</v>
      </c>
      <c r="G9">
        <v>95.04</v>
      </c>
      <c r="H9">
        <v>98.740000000000009</v>
      </c>
      <c r="I9">
        <v>96.55</v>
      </c>
      <c r="J9">
        <v>97.02</v>
      </c>
      <c r="K9">
        <v>-0.47</v>
      </c>
      <c r="L9">
        <v>-27.33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U9">
        <v>2.3400000000000001E-2</v>
      </c>
      <c r="V9">
        <v>1.0200000000000001E-2</v>
      </c>
      <c r="W9">
        <v>2.2200000000000001E-2</v>
      </c>
      <c r="X9">
        <v>6.1999999999999998E-3</v>
      </c>
      <c r="Y9">
        <v>5.4999999999999997E-3</v>
      </c>
      <c r="Z9">
        <v>9.4000000000000004E-3</v>
      </c>
      <c r="AA9">
        <v>5.5800000000000002E-2</v>
      </c>
      <c r="AB9">
        <v>2.1100000000000001E-2</v>
      </c>
      <c r="AC9">
        <v>1.26E-2</v>
      </c>
      <c r="AD9">
        <v>0.18340000000000001</v>
      </c>
      <c r="AE9">
        <v>0.44540000000000002</v>
      </c>
      <c r="AF9">
        <v>0.50800000000000001</v>
      </c>
    </row>
    <row r="10" spans="1:32" x14ac:dyDescent="0.25">
      <c r="A10" t="s">
        <v>43</v>
      </c>
      <c r="B10" t="s">
        <v>33</v>
      </c>
      <c r="C10" t="s">
        <v>31</v>
      </c>
      <c r="D10" t="s">
        <v>32</v>
      </c>
      <c r="E10">
        <v>86.77</v>
      </c>
      <c r="F10">
        <v>86.54</v>
      </c>
      <c r="G10">
        <v>92.01</v>
      </c>
      <c r="H10">
        <v>96.57</v>
      </c>
      <c r="I10">
        <v>92.01</v>
      </c>
      <c r="J10">
        <v>92.16</v>
      </c>
      <c r="K10">
        <v>-0.15</v>
      </c>
      <c r="L10">
        <v>-3.4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5.9700000000000003E-2</v>
      </c>
      <c r="V10">
        <v>6.5799999999999997E-2</v>
      </c>
      <c r="W10">
        <v>1.89E-2</v>
      </c>
      <c r="X10">
        <v>2.3099999999999999E-2</v>
      </c>
      <c r="Y10">
        <v>1.15E-2</v>
      </c>
      <c r="Z10">
        <v>1.52E-2</v>
      </c>
      <c r="AA10">
        <v>0.1444</v>
      </c>
      <c r="AB10">
        <v>4.9799999999999997E-2</v>
      </c>
      <c r="AC10">
        <v>3.4299999999999997E-2</v>
      </c>
      <c r="AD10">
        <v>0.1128</v>
      </c>
      <c r="AE10">
        <v>0.46400000000000002</v>
      </c>
      <c r="AF10">
        <v>0.49380000000000002</v>
      </c>
    </row>
    <row r="11" spans="1:32" x14ac:dyDescent="0.25">
      <c r="A11" t="s">
        <v>44</v>
      </c>
      <c r="B11" t="s">
        <v>33</v>
      </c>
      <c r="C11" t="s">
        <v>32</v>
      </c>
      <c r="D11" t="s">
        <v>31</v>
      </c>
      <c r="E11">
        <v>83.01</v>
      </c>
      <c r="F11">
        <v>93.56</v>
      </c>
      <c r="G11">
        <v>90.39</v>
      </c>
      <c r="H11">
        <v>97.43</v>
      </c>
      <c r="I11">
        <v>93.56</v>
      </c>
      <c r="J11">
        <v>93.61</v>
      </c>
      <c r="K11">
        <v>-0.05</v>
      </c>
      <c r="L11">
        <v>-1.31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0.10639999999999999</v>
      </c>
      <c r="V11">
        <v>1.37E-2</v>
      </c>
      <c r="W11">
        <v>4.53E-2</v>
      </c>
      <c r="X11">
        <v>1.8800000000000001E-2</v>
      </c>
      <c r="Y11">
        <v>6.1000000000000004E-3</v>
      </c>
      <c r="Z11">
        <v>1.89E-2</v>
      </c>
      <c r="AA11">
        <v>0.16539999999999999</v>
      </c>
      <c r="AB11">
        <v>4.3800000000000013E-2</v>
      </c>
      <c r="AC11">
        <v>2.5700000000000001E-2</v>
      </c>
      <c r="AD11">
        <v>0.13</v>
      </c>
      <c r="AE11">
        <v>0.43190000000000001</v>
      </c>
      <c r="AF11">
        <v>0.43609999999999999</v>
      </c>
    </row>
    <row r="12" spans="1:32" x14ac:dyDescent="0.25">
      <c r="A12" t="s">
        <v>45</v>
      </c>
      <c r="B12" t="s">
        <v>35</v>
      </c>
      <c r="C12" t="s">
        <v>33</v>
      </c>
      <c r="D12" t="s">
        <v>31</v>
      </c>
      <c r="E12">
        <v>97.44</v>
      </c>
      <c r="F12">
        <v>94.34</v>
      </c>
      <c r="G12">
        <v>95.96</v>
      </c>
      <c r="H12">
        <v>98.79</v>
      </c>
      <c r="I12">
        <v>97.44</v>
      </c>
      <c r="J12">
        <v>97.18</v>
      </c>
      <c r="K12">
        <v>0.26</v>
      </c>
      <c r="L12">
        <v>16.149999999999999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U12">
        <v>4.7999999999999996E-3</v>
      </c>
      <c r="V12">
        <v>2.93E-2</v>
      </c>
      <c r="W12">
        <v>1.3599999999999999E-2</v>
      </c>
      <c r="X12">
        <v>4.4999999999999997E-3</v>
      </c>
      <c r="Y12">
        <v>1.06E-2</v>
      </c>
      <c r="Z12">
        <v>4.1000000000000003E-3</v>
      </c>
      <c r="AA12">
        <v>4.7699999999999999E-2</v>
      </c>
      <c r="AB12">
        <v>1.9199999999999998E-2</v>
      </c>
      <c r="AC12">
        <v>1.21E-2</v>
      </c>
      <c r="AD12">
        <v>0.16270000000000001</v>
      </c>
      <c r="AE12">
        <v>0.55020000000000002</v>
      </c>
      <c r="AF12">
        <v>0.53139999999999998</v>
      </c>
    </row>
    <row r="14" spans="1:32" x14ac:dyDescent="0.25">
      <c r="A14" t="s">
        <v>48</v>
      </c>
      <c r="B14" t="s">
        <v>37</v>
      </c>
      <c r="C14" t="s">
        <v>35</v>
      </c>
      <c r="D14" t="s">
        <v>32</v>
      </c>
      <c r="E14">
        <v>95.84</v>
      </c>
      <c r="F14">
        <v>97.59</v>
      </c>
      <c r="G14">
        <v>93.29</v>
      </c>
      <c r="H14">
        <v>98.71</v>
      </c>
      <c r="I14">
        <v>97.6</v>
      </c>
      <c r="J14">
        <v>97.11999999999999</v>
      </c>
      <c r="K14">
        <v>0.48</v>
      </c>
      <c r="L14">
        <v>30.19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1.3299999999999999E-2</v>
      </c>
      <c r="V14">
        <v>6.1999999999999998E-3</v>
      </c>
      <c r="W14">
        <v>3.6400000000000002E-2</v>
      </c>
      <c r="X14">
        <v>1.2999999999999999E-3</v>
      </c>
      <c r="Y14">
        <v>3.7000000000000002E-3</v>
      </c>
      <c r="Z14">
        <v>1.4200000000000001E-2</v>
      </c>
      <c r="AA14">
        <v>5.5900000000000012E-2</v>
      </c>
      <c r="AB14">
        <v>1.9199999999999998E-2</v>
      </c>
      <c r="AC14">
        <v>1.29E-2</v>
      </c>
      <c r="AD14">
        <v>0.16830000000000001</v>
      </c>
      <c r="AE14">
        <v>0.74039999999999995</v>
      </c>
      <c r="AF14">
        <v>0.73409999999999997</v>
      </c>
    </row>
    <row r="15" spans="1:32" x14ac:dyDescent="0.25">
      <c r="A15" t="s">
        <v>49</v>
      </c>
      <c r="B15" t="s">
        <v>32</v>
      </c>
      <c r="C15" t="s">
        <v>35</v>
      </c>
      <c r="D15" t="s">
        <v>31</v>
      </c>
      <c r="E15">
        <v>95.1</v>
      </c>
      <c r="F15">
        <v>97.59</v>
      </c>
      <c r="G15">
        <v>96.41</v>
      </c>
      <c r="H15">
        <v>98.91</v>
      </c>
      <c r="I15">
        <v>97.6</v>
      </c>
      <c r="J15">
        <v>97.68</v>
      </c>
      <c r="K15">
        <v>-0.08</v>
      </c>
      <c r="L15">
        <v>-6.5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U15">
        <v>2.8299999999999999E-2</v>
      </c>
      <c r="V15">
        <v>4.4999999999999997E-3</v>
      </c>
      <c r="W15">
        <v>1.4200000000000001E-2</v>
      </c>
      <c r="X15">
        <v>3.8E-3</v>
      </c>
      <c r="Y15">
        <v>4.7999999999999996E-3</v>
      </c>
      <c r="Z15">
        <v>6.0000000000000001E-3</v>
      </c>
      <c r="AA15">
        <v>4.7E-2</v>
      </c>
      <c r="AB15">
        <v>1.46E-2</v>
      </c>
      <c r="AC15">
        <v>1.09E-2</v>
      </c>
      <c r="AD15">
        <v>0.15820000000000001</v>
      </c>
      <c r="AE15">
        <v>0.41139999999999999</v>
      </c>
      <c r="AF15">
        <v>0.36840000000000001</v>
      </c>
    </row>
    <row r="16" spans="1:32" x14ac:dyDescent="0.25">
      <c r="A16" t="s">
        <v>50</v>
      </c>
      <c r="B16" t="s">
        <v>33</v>
      </c>
      <c r="C16" t="s">
        <v>32</v>
      </c>
      <c r="D16" t="s">
        <v>37</v>
      </c>
      <c r="E16">
        <v>85.42</v>
      </c>
      <c r="F16">
        <v>93.29</v>
      </c>
      <c r="G16">
        <v>97.6</v>
      </c>
      <c r="H16">
        <v>98.63</v>
      </c>
      <c r="I16">
        <v>97.6</v>
      </c>
      <c r="J16">
        <v>95.3</v>
      </c>
      <c r="K16">
        <v>2.2999999999999998</v>
      </c>
      <c r="L16">
        <v>69.069999999999993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U16">
        <v>9.5000000000000001E-2</v>
      </c>
      <c r="V16">
        <v>1.8499999999999999E-2</v>
      </c>
      <c r="W16">
        <v>2.8E-3</v>
      </c>
      <c r="X16">
        <v>3.2199999999999999E-2</v>
      </c>
      <c r="Y16">
        <v>2.8E-3</v>
      </c>
      <c r="Z16">
        <v>4.7000000000000002E-3</v>
      </c>
      <c r="AA16">
        <v>0.1163</v>
      </c>
      <c r="AB16">
        <v>3.9699999999999999E-2</v>
      </c>
      <c r="AC16">
        <v>1.37E-2</v>
      </c>
      <c r="AD16">
        <v>0.16009999999999999</v>
      </c>
      <c r="AE16">
        <v>0.81210000000000004</v>
      </c>
      <c r="AF16">
        <v>0.83699999999999997</v>
      </c>
    </row>
    <row r="17" spans="1:32" x14ac:dyDescent="0.25">
      <c r="A17" t="s">
        <v>51</v>
      </c>
      <c r="B17" t="s">
        <v>31</v>
      </c>
      <c r="C17" t="s">
        <v>32</v>
      </c>
      <c r="D17" t="s">
        <v>35</v>
      </c>
      <c r="E17">
        <v>94.48</v>
      </c>
      <c r="F17">
        <v>93.29</v>
      </c>
      <c r="G17">
        <v>97.59</v>
      </c>
      <c r="H17">
        <v>98.42</v>
      </c>
      <c r="I17">
        <v>97.6</v>
      </c>
      <c r="J17">
        <v>96.960000000000008</v>
      </c>
      <c r="K17">
        <v>0.64</v>
      </c>
      <c r="L17">
        <v>43.84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U17">
        <v>2.3099999999999999E-2</v>
      </c>
      <c r="V17">
        <v>3.8199999999999998E-2</v>
      </c>
      <c r="W17">
        <v>3.3999999999999998E-3</v>
      </c>
      <c r="X17">
        <v>1.23E-2</v>
      </c>
      <c r="Y17">
        <v>6.9999999999999999E-4</v>
      </c>
      <c r="Z17">
        <v>4.0000000000000001E-3</v>
      </c>
      <c r="AA17">
        <v>6.4699999999999994E-2</v>
      </c>
      <c r="AB17">
        <v>1.7000000000000001E-2</v>
      </c>
      <c r="AC17">
        <v>1.5800000000000002E-2</v>
      </c>
      <c r="AD17">
        <v>0.1452</v>
      </c>
      <c r="AE17">
        <v>0.72040000000000004</v>
      </c>
      <c r="AF17">
        <v>0.71699999999999997</v>
      </c>
    </row>
    <row r="18" spans="1:32" x14ac:dyDescent="0.25">
      <c r="A18" t="s">
        <v>52</v>
      </c>
      <c r="B18" t="s">
        <v>35</v>
      </c>
      <c r="C18" t="s">
        <v>31</v>
      </c>
      <c r="D18" t="s">
        <v>33</v>
      </c>
      <c r="E18">
        <v>89.94</v>
      </c>
      <c r="F18">
        <v>96.41</v>
      </c>
      <c r="G18">
        <v>94.75</v>
      </c>
      <c r="H18">
        <v>98.63</v>
      </c>
      <c r="I18">
        <v>96.41</v>
      </c>
      <c r="J18">
        <v>96.460000000000008</v>
      </c>
      <c r="K18">
        <v>-0.05</v>
      </c>
      <c r="L18">
        <v>-2.2999999999999998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6.7100000000000007E-2</v>
      </c>
      <c r="V18">
        <v>8.8000000000000005E-3</v>
      </c>
      <c r="W18">
        <v>1.5800000000000002E-2</v>
      </c>
      <c r="X18">
        <v>5.1000000000000004E-3</v>
      </c>
      <c r="Y18">
        <v>8.3000000000000001E-3</v>
      </c>
      <c r="Z18">
        <v>1.47E-2</v>
      </c>
      <c r="AA18">
        <v>9.1700000000000004E-2</v>
      </c>
      <c r="AB18">
        <v>2.81E-2</v>
      </c>
      <c r="AC18">
        <v>1.37E-2</v>
      </c>
      <c r="AD18">
        <v>0.2288</v>
      </c>
      <c r="AE18">
        <v>0.52290000000000003</v>
      </c>
      <c r="AF18">
        <v>0.54659999999999997</v>
      </c>
    </row>
    <row r="19" spans="1:32" x14ac:dyDescent="0.25">
      <c r="A19" t="s">
        <v>53</v>
      </c>
      <c r="B19" t="s">
        <v>37</v>
      </c>
      <c r="C19" t="s">
        <v>32</v>
      </c>
      <c r="D19" t="s">
        <v>33</v>
      </c>
      <c r="E19">
        <v>97.07</v>
      </c>
      <c r="F19">
        <v>93.29</v>
      </c>
      <c r="G19">
        <v>94.75</v>
      </c>
      <c r="H19">
        <v>98.75</v>
      </c>
      <c r="I19">
        <v>97.070000000000007</v>
      </c>
      <c r="J19">
        <v>96.67</v>
      </c>
      <c r="K19">
        <v>0.4</v>
      </c>
      <c r="L19">
        <v>19.23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6.7999999999999996E-3</v>
      </c>
      <c r="V19">
        <v>3.4700000000000002E-2</v>
      </c>
      <c r="W19">
        <v>1.5599999999999999E-2</v>
      </c>
      <c r="X19">
        <v>2.8E-3</v>
      </c>
      <c r="Y19">
        <v>1.7100000000000001E-2</v>
      </c>
      <c r="Z19">
        <v>7.3000000000000001E-3</v>
      </c>
      <c r="AA19">
        <v>5.7099999999999998E-2</v>
      </c>
      <c r="AB19">
        <v>2.7199999999999998E-2</v>
      </c>
      <c r="AC19">
        <v>1.2500000000000001E-2</v>
      </c>
      <c r="AD19">
        <v>0.2339</v>
      </c>
      <c r="AE19">
        <v>0.63049999999999995</v>
      </c>
      <c r="AF19">
        <v>0.62829999999999997</v>
      </c>
    </row>
    <row r="20" spans="1:32" x14ac:dyDescent="0.25">
      <c r="A20" t="s">
        <v>54</v>
      </c>
      <c r="B20" t="s">
        <v>31</v>
      </c>
      <c r="C20" t="s">
        <v>33</v>
      </c>
      <c r="D20" t="s">
        <v>35</v>
      </c>
      <c r="E20">
        <v>94.84</v>
      </c>
      <c r="F20">
        <v>94.75</v>
      </c>
      <c r="G20">
        <v>97.59</v>
      </c>
      <c r="H20">
        <v>98.59</v>
      </c>
      <c r="I20">
        <v>97.6</v>
      </c>
      <c r="J20">
        <v>97.41</v>
      </c>
      <c r="K20">
        <v>0.19</v>
      </c>
      <c r="L20">
        <v>16.100000000000001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2.4199999999999999E-2</v>
      </c>
      <c r="V20">
        <v>2.5399999999999999E-2</v>
      </c>
      <c r="W20">
        <v>5.1000000000000004E-3</v>
      </c>
      <c r="X20">
        <v>1.0800000000000001E-2</v>
      </c>
      <c r="Y20">
        <v>2.3E-3</v>
      </c>
      <c r="Z20">
        <v>2.5999999999999999E-3</v>
      </c>
      <c r="AA20">
        <v>5.4699999999999999E-2</v>
      </c>
      <c r="AB20">
        <v>1.5699999999999999E-2</v>
      </c>
      <c r="AC20">
        <v>1.41E-2</v>
      </c>
      <c r="AD20">
        <v>0.2412</v>
      </c>
      <c r="AE20">
        <v>0.68820000000000003</v>
      </c>
      <c r="AF20">
        <v>0.66669999999999996</v>
      </c>
    </row>
    <row r="21" spans="1:32" x14ac:dyDescent="0.25">
      <c r="A21" t="s">
        <v>55</v>
      </c>
      <c r="B21" t="s">
        <v>31</v>
      </c>
      <c r="C21" t="s">
        <v>33</v>
      </c>
      <c r="D21" t="s">
        <v>35</v>
      </c>
      <c r="E21">
        <v>86.54</v>
      </c>
      <c r="F21">
        <v>94.75</v>
      </c>
      <c r="G21">
        <v>97.59</v>
      </c>
      <c r="H21">
        <v>98.7</v>
      </c>
      <c r="I21">
        <v>97.6</v>
      </c>
      <c r="J21">
        <v>96.41</v>
      </c>
      <c r="K21">
        <v>1.19</v>
      </c>
      <c r="L21">
        <v>51.97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9.7299999999999998E-2</v>
      </c>
      <c r="V21">
        <v>1.6799999999999999E-2</v>
      </c>
      <c r="W21">
        <v>2.5000000000000001E-3</v>
      </c>
      <c r="X21">
        <v>1.9300000000000001E-2</v>
      </c>
      <c r="Y21">
        <v>3.3999999999999998E-3</v>
      </c>
      <c r="Z21">
        <v>5.1000000000000004E-3</v>
      </c>
      <c r="AA21">
        <v>0.1166</v>
      </c>
      <c r="AB21">
        <v>2.7799999999999998E-2</v>
      </c>
      <c r="AC21">
        <v>1.2999999999999999E-2</v>
      </c>
      <c r="AD21">
        <v>0.1749</v>
      </c>
      <c r="AE21">
        <v>0.69310000000000005</v>
      </c>
      <c r="AF21">
        <v>0.68400000000000005</v>
      </c>
    </row>
    <row r="22" spans="1:32" x14ac:dyDescent="0.25">
      <c r="A22" t="s">
        <v>56</v>
      </c>
      <c r="B22" t="s">
        <v>37</v>
      </c>
      <c r="C22" t="s">
        <v>31</v>
      </c>
      <c r="D22" t="s">
        <v>33</v>
      </c>
      <c r="E22">
        <v>96.5</v>
      </c>
      <c r="F22">
        <v>96.41</v>
      </c>
      <c r="G22">
        <v>94.75</v>
      </c>
      <c r="H22">
        <v>98.72</v>
      </c>
      <c r="I22">
        <v>96.41</v>
      </c>
      <c r="J22">
        <v>96.899999999999991</v>
      </c>
      <c r="K22">
        <v>-0.49</v>
      </c>
      <c r="L22">
        <v>-26.92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U22">
        <v>9.1000000000000004E-3</v>
      </c>
      <c r="V22">
        <v>9.7000000000000003E-3</v>
      </c>
      <c r="W22">
        <v>2.1600000000000001E-2</v>
      </c>
      <c r="X22">
        <v>4.1999999999999997E-3</v>
      </c>
      <c r="Y22">
        <v>9.1999999999999998E-3</v>
      </c>
      <c r="Z22">
        <v>8.8999999999999999E-3</v>
      </c>
      <c r="AA22">
        <v>4.0400000000000012E-2</v>
      </c>
      <c r="AB22">
        <v>2.23E-2</v>
      </c>
      <c r="AC22">
        <v>1.2800000000000001E-2</v>
      </c>
      <c r="AD22">
        <v>0.1852</v>
      </c>
      <c r="AE22">
        <v>0.3992</v>
      </c>
      <c r="AF22">
        <v>0.47470000000000001</v>
      </c>
    </row>
    <row r="23" spans="1:32" x14ac:dyDescent="0.25">
      <c r="A23" t="s">
        <v>57</v>
      </c>
      <c r="B23" t="s">
        <v>37</v>
      </c>
      <c r="C23" t="s">
        <v>35</v>
      </c>
      <c r="D23" t="s">
        <v>31</v>
      </c>
      <c r="E23">
        <v>97.2</v>
      </c>
      <c r="F23">
        <v>97.59</v>
      </c>
      <c r="G23">
        <v>96.41</v>
      </c>
      <c r="H23">
        <v>98.95</v>
      </c>
      <c r="I23">
        <v>97.6</v>
      </c>
      <c r="J23">
        <v>97.84</v>
      </c>
      <c r="K23">
        <v>-0.24</v>
      </c>
      <c r="L23">
        <v>-21.62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1.0200000000000001E-2</v>
      </c>
      <c r="V23">
        <v>5.4999999999999997E-3</v>
      </c>
      <c r="W23">
        <v>1.5599999999999999E-2</v>
      </c>
      <c r="X23">
        <v>2.8E-3</v>
      </c>
      <c r="Y23">
        <v>5.1999999999999998E-3</v>
      </c>
      <c r="Z23">
        <v>4.5999999999999999E-3</v>
      </c>
      <c r="AA23">
        <v>3.1299999999999988E-2</v>
      </c>
      <c r="AB23">
        <v>1.26E-2</v>
      </c>
      <c r="AC23">
        <v>1.0500000000000001E-2</v>
      </c>
      <c r="AD23">
        <v>0.1168</v>
      </c>
      <c r="AE23">
        <v>0.36499999999999999</v>
      </c>
      <c r="AF23">
        <v>0.30580000000000002</v>
      </c>
    </row>
    <row r="25" spans="1:32" x14ac:dyDescent="0.25">
      <c r="I25">
        <f>SUM(I2:I23)/COUNTA(I2:I23)</f>
        <v>96.618095238095222</v>
      </c>
      <c r="J25">
        <f t="shared" ref="J25:AF25" si="0">SUM(J2:J23)/COUNTA(J2:J23)</f>
        <v>96.40761904761905</v>
      </c>
      <c r="K25">
        <f t="shared" si="0"/>
        <v>0.21047619047619048</v>
      </c>
      <c r="L25">
        <f t="shared" si="0"/>
        <v>4.9471428571428575</v>
      </c>
      <c r="M25" t="e">
        <f t="shared" si="0"/>
        <v>#DIV/0!</v>
      </c>
      <c r="N25">
        <f t="shared" si="0"/>
        <v>0.47619047619047616</v>
      </c>
      <c r="O25">
        <f t="shared" si="0"/>
        <v>0.95238095238095233</v>
      </c>
      <c r="P25">
        <f t="shared" si="0"/>
        <v>1</v>
      </c>
      <c r="Q25">
        <f t="shared" si="0"/>
        <v>0.8571428571428571</v>
      </c>
      <c r="R25">
        <f t="shared" si="0"/>
        <v>0.95238095238095233</v>
      </c>
      <c r="S25">
        <f t="shared" si="0"/>
        <v>1</v>
      </c>
      <c r="T25" t="e">
        <f t="shared" si="0"/>
        <v>#DIV/0!</v>
      </c>
      <c r="U25">
        <f t="shared" si="0"/>
        <v>3.9142857142857153E-2</v>
      </c>
      <c r="V25">
        <f t="shared" si="0"/>
        <v>1.9638095238095236E-2</v>
      </c>
      <c r="W25">
        <f t="shared" si="0"/>
        <v>2.3409523809523807E-2</v>
      </c>
      <c r="X25">
        <f t="shared" si="0"/>
        <v>9.6714285714285721E-3</v>
      </c>
      <c r="Y25">
        <f t="shared" si="0"/>
        <v>6.5047619047619047E-3</v>
      </c>
      <c r="Z25">
        <f t="shared" si="0"/>
        <v>8.595238095238095E-3</v>
      </c>
      <c r="AA25">
        <f t="shared" si="0"/>
        <v>8.2190476190476175E-2</v>
      </c>
      <c r="AB25">
        <f t="shared" si="0"/>
        <v>2.4771428571428573E-2</v>
      </c>
      <c r="AC25">
        <f t="shared" si="0"/>
        <v>1.5271428571428571E-2</v>
      </c>
      <c r="AD25">
        <f t="shared" si="0"/>
        <v>0.17021428571428571</v>
      </c>
      <c r="AE25">
        <f t="shared" si="0"/>
        <v>0.53721428571428576</v>
      </c>
      <c r="AF25">
        <f t="shared" si="0"/>
        <v>0.54125238095238093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5"/>
  <sheetViews>
    <sheetView workbookViewId="0">
      <selection activeCell="I25" sqref="I25:AE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32</v>
      </c>
      <c r="C2" t="s">
        <v>33</v>
      </c>
      <c r="D2" t="s">
        <v>31</v>
      </c>
      <c r="E2">
        <v>45.24</v>
      </c>
      <c r="F2">
        <v>51.249999999999993</v>
      </c>
      <c r="G2">
        <v>40.520000000000003</v>
      </c>
      <c r="H2">
        <v>63.19</v>
      </c>
      <c r="I2">
        <v>40.619999999999997</v>
      </c>
      <c r="J2">
        <v>48.24</v>
      </c>
      <c r="K2">
        <v>-7.62</v>
      </c>
      <c r="L2">
        <v>-50.97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U2">
        <v>4.41E-2</v>
      </c>
      <c r="V2">
        <v>2.81E-2</v>
      </c>
      <c r="W2">
        <v>7.5200000000000003E-2</v>
      </c>
      <c r="X2">
        <v>3.8100000000000002E-2</v>
      </c>
      <c r="Y2">
        <v>5.3199999999999997E-2</v>
      </c>
      <c r="Z2">
        <v>9.7299999999999998E-2</v>
      </c>
      <c r="AA2">
        <v>0.1474</v>
      </c>
      <c r="AB2">
        <v>0.18859999999999999</v>
      </c>
      <c r="AC2">
        <v>0.36809999999999998</v>
      </c>
      <c r="AD2">
        <v>0.2074</v>
      </c>
      <c r="AE2">
        <v>0.2021</v>
      </c>
      <c r="AF2">
        <v>0.18790000000000001</v>
      </c>
    </row>
    <row r="3" spans="1:32" x14ac:dyDescent="0.25">
      <c r="A3" t="s">
        <v>34</v>
      </c>
      <c r="B3" t="s">
        <v>35</v>
      </c>
      <c r="C3" t="s">
        <v>33</v>
      </c>
      <c r="D3" t="s">
        <v>31</v>
      </c>
      <c r="E3">
        <v>44.33</v>
      </c>
      <c r="F3">
        <v>45.94</v>
      </c>
      <c r="G3">
        <v>43.53</v>
      </c>
      <c r="H3">
        <v>62.09</v>
      </c>
      <c r="I3">
        <v>44.330000000000013</v>
      </c>
      <c r="J3">
        <v>46.84</v>
      </c>
      <c r="K3">
        <v>-2.5099999999999998</v>
      </c>
      <c r="L3">
        <v>-16.46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U3">
        <v>4.0099999999999997E-2</v>
      </c>
      <c r="V3">
        <v>6.1199999999999997E-2</v>
      </c>
      <c r="W3">
        <v>4.2099999999999999E-2</v>
      </c>
      <c r="X3">
        <v>4.7100000000000003E-2</v>
      </c>
      <c r="Y3">
        <v>5.3199999999999997E-2</v>
      </c>
      <c r="Z3">
        <v>9.0300000000000005E-2</v>
      </c>
      <c r="AA3">
        <v>0.1434</v>
      </c>
      <c r="AB3">
        <v>0.19059999999999999</v>
      </c>
      <c r="AC3">
        <v>0.37909999999999999</v>
      </c>
      <c r="AD3">
        <v>0.2</v>
      </c>
      <c r="AE3">
        <v>0.27889999999999998</v>
      </c>
      <c r="AF3">
        <v>0.2303</v>
      </c>
    </row>
    <row r="4" spans="1:32" x14ac:dyDescent="0.25">
      <c r="A4" t="s">
        <v>36</v>
      </c>
      <c r="B4" t="s">
        <v>33</v>
      </c>
      <c r="C4" t="s">
        <v>31</v>
      </c>
      <c r="D4" t="s">
        <v>32</v>
      </c>
      <c r="E4">
        <v>43.33</v>
      </c>
      <c r="F4">
        <v>34.799999999999997</v>
      </c>
      <c r="G4">
        <v>31.59</v>
      </c>
      <c r="H4">
        <v>55.47</v>
      </c>
      <c r="I4">
        <v>34.799999999999997</v>
      </c>
      <c r="J4">
        <v>41.52</v>
      </c>
      <c r="K4">
        <v>-6.72</v>
      </c>
      <c r="L4">
        <v>-48.17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U4">
        <v>1.2999999999999999E-2</v>
      </c>
      <c r="V4">
        <v>5.4199999999999998E-2</v>
      </c>
      <c r="W4">
        <v>8.0199999999999994E-2</v>
      </c>
      <c r="X4">
        <v>5.1200000000000002E-2</v>
      </c>
      <c r="Y4">
        <v>0.1013</v>
      </c>
      <c r="Z4">
        <v>5.7200000000000001E-2</v>
      </c>
      <c r="AA4">
        <v>0.1474</v>
      </c>
      <c r="AB4">
        <v>0.2097</v>
      </c>
      <c r="AC4">
        <v>0.44529999999999997</v>
      </c>
      <c r="AD4">
        <v>0.33489999999999998</v>
      </c>
      <c r="AE4">
        <v>0.2727</v>
      </c>
      <c r="AF4">
        <v>0.25180000000000002</v>
      </c>
    </row>
    <row r="5" spans="1:32" x14ac:dyDescent="0.25">
      <c r="A5" t="s">
        <v>38</v>
      </c>
      <c r="B5" t="s">
        <v>32</v>
      </c>
      <c r="C5" t="s">
        <v>35</v>
      </c>
      <c r="D5" t="s">
        <v>37</v>
      </c>
      <c r="E5">
        <v>31.19</v>
      </c>
      <c r="F5">
        <v>44.43</v>
      </c>
      <c r="G5">
        <v>52.459999999999987</v>
      </c>
      <c r="H5">
        <v>64.09</v>
      </c>
      <c r="I5">
        <v>52.459999999999987</v>
      </c>
      <c r="J5">
        <v>47.24</v>
      </c>
      <c r="K5">
        <v>5.22</v>
      </c>
      <c r="L5">
        <v>30.98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U5">
        <v>0.1153</v>
      </c>
      <c r="V5">
        <v>2.7099999999999999E-2</v>
      </c>
      <c r="W5">
        <v>2.2100000000000002E-2</v>
      </c>
      <c r="X5">
        <v>0.1444</v>
      </c>
      <c r="Y5">
        <v>2.5100000000000001E-2</v>
      </c>
      <c r="Z5">
        <v>6.9199999999999998E-2</v>
      </c>
      <c r="AA5">
        <v>0.16450000000000001</v>
      </c>
      <c r="AB5">
        <v>0.2387</v>
      </c>
      <c r="AC5">
        <v>0.35909999999999997</v>
      </c>
      <c r="AD5">
        <v>0.29409999999999997</v>
      </c>
      <c r="AE5">
        <v>0.60499999999999998</v>
      </c>
      <c r="AF5">
        <v>0.66069999999999995</v>
      </c>
    </row>
    <row r="6" spans="1:32" x14ac:dyDescent="0.25">
      <c r="A6" t="s">
        <v>39</v>
      </c>
      <c r="B6" t="s">
        <v>32</v>
      </c>
      <c r="C6" t="s">
        <v>33</v>
      </c>
      <c r="D6" t="s">
        <v>31</v>
      </c>
      <c r="E6">
        <v>25.18</v>
      </c>
      <c r="F6">
        <v>45.74</v>
      </c>
      <c r="G6">
        <v>32.299999999999997</v>
      </c>
      <c r="H6">
        <v>53.56</v>
      </c>
      <c r="I6">
        <v>32.299999999999997</v>
      </c>
      <c r="J6">
        <v>39.22</v>
      </c>
      <c r="K6">
        <v>-6.92</v>
      </c>
      <c r="L6">
        <v>-48.26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U6">
        <v>0.1033</v>
      </c>
      <c r="V6">
        <v>1.2999999999999999E-2</v>
      </c>
      <c r="W6">
        <v>5.62E-2</v>
      </c>
      <c r="X6">
        <v>4.41E-2</v>
      </c>
      <c r="Y6">
        <v>2.01E-2</v>
      </c>
      <c r="Z6">
        <v>0.13639999999999999</v>
      </c>
      <c r="AA6">
        <v>0.17249999999999999</v>
      </c>
      <c r="AB6">
        <v>0.2006</v>
      </c>
      <c r="AC6">
        <v>0.46439999999999998</v>
      </c>
      <c r="AD6">
        <v>0.28499999999999998</v>
      </c>
      <c r="AE6">
        <v>0.22</v>
      </c>
      <c r="AF6">
        <v>0.21679999999999999</v>
      </c>
    </row>
    <row r="7" spans="1:32" x14ac:dyDescent="0.25">
      <c r="A7" t="s">
        <v>40</v>
      </c>
      <c r="B7" t="s">
        <v>31</v>
      </c>
      <c r="C7" t="s">
        <v>37</v>
      </c>
      <c r="D7" t="s">
        <v>33</v>
      </c>
      <c r="E7">
        <v>22.97</v>
      </c>
      <c r="F7">
        <v>26.88</v>
      </c>
      <c r="G7">
        <v>21.87</v>
      </c>
      <c r="H7">
        <v>41.12</v>
      </c>
      <c r="I7">
        <v>22.87</v>
      </c>
      <c r="J7">
        <v>25.88</v>
      </c>
      <c r="K7">
        <v>-3.01</v>
      </c>
      <c r="L7">
        <v>-19.75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U7">
        <v>6.8199999999999997E-2</v>
      </c>
      <c r="V7">
        <v>2.41E-2</v>
      </c>
      <c r="W7">
        <v>3.2099999999999997E-2</v>
      </c>
      <c r="X7">
        <v>3.61E-2</v>
      </c>
      <c r="Y7">
        <v>8.2199999999999995E-2</v>
      </c>
      <c r="Z7">
        <v>7.8200000000000006E-2</v>
      </c>
      <c r="AA7">
        <v>0.1244</v>
      </c>
      <c r="AB7">
        <v>0.19650000000000001</v>
      </c>
      <c r="AC7">
        <v>0.58879999999999999</v>
      </c>
      <c r="AD7">
        <v>0.22450000000000001</v>
      </c>
      <c r="AE7">
        <v>0.41839999999999999</v>
      </c>
      <c r="AF7">
        <v>0.49340000000000001</v>
      </c>
    </row>
    <row r="8" spans="1:32" x14ac:dyDescent="0.25">
      <c r="A8" t="s">
        <v>41</v>
      </c>
      <c r="B8" t="s">
        <v>35</v>
      </c>
      <c r="C8" t="s">
        <v>33</v>
      </c>
      <c r="D8" t="s">
        <v>37</v>
      </c>
      <c r="E8">
        <v>43.23</v>
      </c>
      <c r="F8">
        <v>44.33</v>
      </c>
      <c r="G8">
        <v>56.169999999999987</v>
      </c>
      <c r="H8">
        <v>67</v>
      </c>
      <c r="I8">
        <v>43.23</v>
      </c>
      <c r="J8">
        <v>50.849999999999987</v>
      </c>
      <c r="K8">
        <v>-7.62</v>
      </c>
      <c r="L8">
        <v>-47.18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U8">
        <v>7.6200000000000004E-2</v>
      </c>
      <c r="V8">
        <v>5.7200000000000001E-2</v>
      </c>
      <c r="W8">
        <v>1.4E-2</v>
      </c>
      <c r="X8">
        <v>0.11840000000000001</v>
      </c>
      <c r="Y8">
        <v>5.1200000000000002E-2</v>
      </c>
      <c r="Z8">
        <v>4.3099999999999999E-2</v>
      </c>
      <c r="AA8">
        <v>0.1474</v>
      </c>
      <c r="AB8">
        <v>0.2127</v>
      </c>
      <c r="AC8">
        <v>0.33</v>
      </c>
      <c r="AD8">
        <v>0.24060000000000001</v>
      </c>
      <c r="AE8">
        <v>0.24060000000000001</v>
      </c>
      <c r="AF8">
        <v>0.22359999999999999</v>
      </c>
    </row>
    <row r="9" spans="1:32" x14ac:dyDescent="0.25">
      <c r="A9" t="s">
        <v>42</v>
      </c>
      <c r="B9" t="s">
        <v>31</v>
      </c>
      <c r="C9" t="s">
        <v>33</v>
      </c>
      <c r="D9" t="s">
        <v>35</v>
      </c>
      <c r="E9">
        <v>32.9</v>
      </c>
      <c r="F9">
        <v>28.59</v>
      </c>
      <c r="G9">
        <v>40.020000000000003</v>
      </c>
      <c r="H9">
        <v>51.76</v>
      </c>
      <c r="I9">
        <v>40.020000000000003</v>
      </c>
      <c r="J9">
        <v>38.31</v>
      </c>
      <c r="K9">
        <v>1.71</v>
      </c>
      <c r="L9">
        <v>12.71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4.8099999999999997E-2</v>
      </c>
      <c r="V9">
        <v>0.12640000000000001</v>
      </c>
      <c r="W9">
        <v>0.01</v>
      </c>
      <c r="X9">
        <v>6.9199999999999998E-2</v>
      </c>
      <c r="Y9">
        <v>3.61E-2</v>
      </c>
      <c r="Z9">
        <v>7.1199999999999999E-2</v>
      </c>
      <c r="AA9">
        <v>0.1845</v>
      </c>
      <c r="AB9">
        <v>0.17649999999999999</v>
      </c>
      <c r="AC9">
        <v>0.4824</v>
      </c>
      <c r="AD9">
        <v>0.23860000000000001</v>
      </c>
      <c r="AE9">
        <v>0.39200000000000002</v>
      </c>
      <c r="AF9">
        <v>0.34329999999999999</v>
      </c>
    </row>
    <row r="10" spans="1:32" x14ac:dyDescent="0.25">
      <c r="A10" t="s">
        <v>43</v>
      </c>
      <c r="B10" t="s">
        <v>31</v>
      </c>
      <c r="C10" t="s">
        <v>32</v>
      </c>
      <c r="D10" t="s">
        <v>33</v>
      </c>
      <c r="E10">
        <v>31.489999999999991</v>
      </c>
      <c r="F10">
        <v>32</v>
      </c>
      <c r="G10">
        <v>42.93</v>
      </c>
      <c r="H10">
        <v>53.56</v>
      </c>
      <c r="I10">
        <v>31.49</v>
      </c>
      <c r="J10">
        <v>39.82</v>
      </c>
      <c r="K10">
        <v>-8.33</v>
      </c>
      <c r="L10">
        <v>-60.63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U10">
        <v>7.6200000000000004E-2</v>
      </c>
      <c r="V10">
        <v>6.2199999999999998E-2</v>
      </c>
      <c r="W10">
        <v>1.0999999999999999E-2</v>
      </c>
      <c r="X10">
        <v>0.1013</v>
      </c>
      <c r="Y10">
        <v>5.2200000000000003E-2</v>
      </c>
      <c r="Z10">
        <v>4.3099999999999999E-2</v>
      </c>
      <c r="AA10">
        <v>0.14940000000000001</v>
      </c>
      <c r="AB10">
        <v>0.1966</v>
      </c>
      <c r="AC10">
        <v>0.46439999999999998</v>
      </c>
      <c r="AD10">
        <v>0.30099999999999999</v>
      </c>
      <c r="AE10">
        <v>0.26529999999999998</v>
      </c>
      <c r="AF10">
        <v>0.26279999999999998</v>
      </c>
    </row>
    <row r="11" spans="1:32" x14ac:dyDescent="0.25">
      <c r="A11" t="s">
        <v>44</v>
      </c>
      <c r="B11" t="s">
        <v>31</v>
      </c>
      <c r="C11" t="s">
        <v>33</v>
      </c>
      <c r="D11" t="s">
        <v>37</v>
      </c>
      <c r="E11">
        <v>22.17</v>
      </c>
      <c r="F11">
        <v>45.44</v>
      </c>
      <c r="G11">
        <v>49.05</v>
      </c>
      <c r="H11">
        <v>60.58</v>
      </c>
      <c r="I11">
        <v>49.05</v>
      </c>
      <c r="J11">
        <v>45.94</v>
      </c>
      <c r="K11">
        <v>3.11</v>
      </c>
      <c r="L11">
        <v>21.24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U11">
        <v>0.18759999999999999</v>
      </c>
      <c r="V11">
        <v>1.9099999999999999E-2</v>
      </c>
      <c r="W11">
        <v>1.2E-2</v>
      </c>
      <c r="X11">
        <v>0.1133</v>
      </c>
      <c r="Y11">
        <v>1.9099999999999999E-2</v>
      </c>
      <c r="Z11">
        <v>8.43E-2</v>
      </c>
      <c r="AA11">
        <v>0.21870000000000001</v>
      </c>
      <c r="AB11">
        <v>0.2167</v>
      </c>
      <c r="AC11">
        <v>0.39419999999999999</v>
      </c>
      <c r="AD11">
        <v>0.3241</v>
      </c>
      <c r="AE11">
        <v>0.52310000000000001</v>
      </c>
      <c r="AF11">
        <v>0.49320000000000003</v>
      </c>
    </row>
    <row r="12" spans="1:32" x14ac:dyDescent="0.25">
      <c r="A12" t="s">
        <v>45</v>
      </c>
      <c r="B12" t="s">
        <v>33</v>
      </c>
      <c r="C12" t="s">
        <v>31</v>
      </c>
      <c r="D12" t="s">
        <v>32</v>
      </c>
      <c r="E12">
        <v>49.9</v>
      </c>
      <c r="F12">
        <v>39.92</v>
      </c>
      <c r="G12">
        <v>44.73</v>
      </c>
      <c r="H12">
        <v>61.99</v>
      </c>
      <c r="I12">
        <v>39.92</v>
      </c>
      <c r="J12">
        <v>47.84</v>
      </c>
      <c r="K12">
        <v>-7.92</v>
      </c>
      <c r="L12">
        <v>-55.97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U12">
        <v>3.0599999999999999E-2</v>
      </c>
      <c r="V12">
        <v>7.6200000000000004E-2</v>
      </c>
      <c r="W12">
        <v>4.0099999999999997E-2</v>
      </c>
      <c r="X12">
        <v>5.1200000000000002E-2</v>
      </c>
      <c r="Y12">
        <v>9.3299999999999994E-2</v>
      </c>
      <c r="Z12">
        <v>3.9100000000000003E-2</v>
      </c>
      <c r="AA12">
        <v>0.1469</v>
      </c>
      <c r="AB12">
        <v>0.18360000000000001</v>
      </c>
      <c r="AC12">
        <v>0.38009999999999999</v>
      </c>
      <c r="AD12">
        <v>0.22950000000000001</v>
      </c>
      <c r="AE12">
        <v>0.21310000000000001</v>
      </c>
      <c r="AF12">
        <v>0.1915</v>
      </c>
    </row>
    <row r="14" spans="1:32" x14ac:dyDescent="0.25">
      <c r="A14" t="s">
        <v>48</v>
      </c>
      <c r="B14" t="s">
        <v>32</v>
      </c>
      <c r="C14" t="s">
        <v>33</v>
      </c>
      <c r="D14" t="s">
        <v>31</v>
      </c>
      <c r="E14">
        <v>37.61</v>
      </c>
      <c r="F14">
        <v>51.249999999999993</v>
      </c>
      <c r="G14">
        <v>40.520000000000003</v>
      </c>
      <c r="H14">
        <v>60.48</v>
      </c>
      <c r="I14">
        <v>40.619999999999997</v>
      </c>
      <c r="J14">
        <v>46.44</v>
      </c>
      <c r="K14">
        <v>-5.82</v>
      </c>
      <c r="L14">
        <v>-41.45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U14">
        <v>6.6199999999999995E-2</v>
      </c>
      <c r="V14">
        <v>1.8100000000000002E-2</v>
      </c>
      <c r="W14">
        <v>5.8200000000000002E-2</v>
      </c>
      <c r="X14">
        <v>4.8099999999999997E-2</v>
      </c>
      <c r="Y14">
        <v>2.6100000000000002E-2</v>
      </c>
      <c r="Z14">
        <v>0.1143</v>
      </c>
      <c r="AA14">
        <v>0.14249999999999999</v>
      </c>
      <c r="AB14">
        <v>0.1885</v>
      </c>
      <c r="AC14">
        <v>0.3952</v>
      </c>
      <c r="AD14">
        <v>0.25530000000000003</v>
      </c>
      <c r="AE14">
        <v>0.25530000000000003</v>
      </c>
      <c r="AF14">
        <v>0.21429999999999999</v>
      </c>
    </row>
    <row r="15" spans="1:32" x14ac:dyDescent="0.25">
      <c r="A15" t="s">
        <v>49</v>
      </c>
      <c r="B15" t="s">
        <v>33</v>
      </c>
      <c r="C15" t="s">
        <v>31</v>
      </c>
      <c r="D15" t="s">
        <v>35</v>
      </c>
      <c r="E15">
        <v>43.33</v>
      </c>
      <c r="F15">
        <v>40.520000000000003</v>
      </c>
      <c r="G15">
        <v>45.84</v>
      </c>
      <c r="H15">
        <v>59.48</v>
      </c>
      <c r="I15">
        <v>45.84</v>
      </c>
      <c r="J15">
        <v>46.54</v>
      </c>
      <c r="K15">
        <v>-0.7</v>
      </c>
      <c r="L15">
        <v>-5.41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U15">
        <v>5.9200000000000003E-2</v>
      </c>
      <c r="V15">
        <v>5.1200000000000002E-2</v>
      </c>
      <c r="W15">
        <v>3.3099999999999997E-2</v>
      </c>
      <c r="X15">
        <v>6.8199999999999997E-2</v>
      </c>
      <c r="Y15">
        <v>6.9199999999999998E-2</v>
      </c>
      <c r="Z15">
        <v>3.4099999999999998E-2</v>
      </c>
      <c r="AA15">
        <v>0.14349999999999999</v>
      </c>
      <c r="AB15">
        <v>0.17150000000000001</v>
      </c>
      <c r="AC15">
        <v>0.4052</v>
      </c>
      <c r="AD15">
        <v>0.24560000000000001</v>
      </c>
      <c r="AE15">
        <v>0.3977</v>
      </c>
      <c r="AF15">
        <v>0.34110000000000001</v>
      </c>
    </row>
    <row r="16" spans="1:32" x14ac:dyDescent="0.25">
      <c r="A16" t="s">
        <v>50</v>
      </c>
      <c r="B16" t="s">
        <v>32</v>
      </c>
      <c r="C16" t="s">
        <v>37</v>
      </c>
      <c r="D16" t="s">
        <v>31</v>
      </c>
      <c r="E16">
        <v>31.19</v>
      </c>
      <c r="F16">
        <v>51.960000000000008</v>
      </c>
      <c r="G16">
        <v>40.520000000000003</v>
      </c>
      <c r="H16">
        <v>61.28</v>
      </c>
      <c r="I16">
        <v>51.959999999999987</v>
      </c>
      <c r="J16">
        <v>44.93</v>
      </c>
      <c r="K16">
        <v>7.03</v>
      </c>
      <c r="L16">
        <v>43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0.10630000000000001</v>
      </c>
      <c r="V16">
        <v>2.1100000000000001E-2</v>
      </c>
      <c r="W16">
        <v>3.8100000000000002E-2</v>
      </c>
      <c r="X16">
        <v>4.9099999999999998E-2</v>
      </c>
      <c r="Y16">
        <v>2.3099999999999999E-2</v>
      </c>
      <c r="Z16">
        <v>0.1454</v>
      </c>
      <c r="AA16">
        <v>0.16550000000000001</v>
      </c>
      <c r="AB16">
        <v>0.21759999999999999</v>
      </c>
      <c r="AC16">
        <v>0.38719999999999999</v>
      </c>
      <c r="AD16">
        <v>0.24879999999999999</v>
      </c>
      <c r="AE16">
        <v>0.66820000000000002</v>
      </c>
      <c r="AF16">
        <v>0.7117</v>
      </c>
    </row>
    <row r="17" spans="1:32" x14ac:dyDescent="0.25">
      <c r="A17" t="s">
        <v>51</v>
      </c>
      <c r="B17" t="s">
        <v>32</v>
      </c>
      <c r="C17" t="s">
        <v>37</v>
      </c>
      <c r="D17" t="s">
        <v>35</v>
      </c>
      <c r="E17">
        <v>25.18</v>
      </c>
      <c r="F17">
        <v>51.960000000000008</v>
      </c>
      <c r="G17">
        <v>45.84</v>
      </c>
      <c r="H17">
        <v>62.69</v>
      </c>
      <c r="I17">
        <v>51.959999999999987</v>
      </c>
      <c r="J17">
        <v>47.04</v>
      </c>
      <c r="K17">
        <v>4.92</v>
      </c>
      <c r="L17">
        <v>31.44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0.17749999999999999</v>
      </c>
      <c r="V17">
        <v>1.4999999999999999E-2</v>
      </c>
      <c r="W17">
        <v>2.3099999999999999E-2</v>
      </c>
      <c r="X17">
        <v>7.22E-2</v>
      </c>
      <c r="Y17">
        <v>2.01E-2</v>
      </c>
      <c r="Z17">
        <v>0.12540000000000001</v>
      </c>
      <c r="AA17">
        <v>0.21560000000000001</v>
      </c>
      <c r="AB17">
        <v>0.2177</v>
      </c>
      <c r="AC17">
        <v>0.37309999999999999</v>
      </c>
      <c r="AD17">
        <v>0.28110000000000002</v>
      </c>
      <c r="AE17">
        <v>0.57599999999999996</v>
      </c>
      <c r="AF17">
        <v>0.56410000000000005</v>
      </c>
    </row>
    <row r="18" spans="1:32" x14ac:dyDescent="0.25">
      <c r="A18" t="s">
        <v>52</v>
      </c>
      <c r="B18" t="s">
        <v>31</v>
      </c>
      <c r="C18" t="s">
        <v>33</v>
      </c>
      <c r="D18" t="s">
        <v>37</v>
      </c>
      <c r="E18">
        <v>22.97</v>
      </c>
      <c r="F18">
        <v>51.249999999999993</v>
      </c>
      <c r="G18">
        <v>51.960000000000008</v>
      </c>
      <c r="H18">
        <v>62.69</v>
      </c>
      <c r="I18">
        <v>51.959999999999987</v>
      </c>
      <c r="J18">
        <v>48.24</v>
      </c>
      <c r="K18">
        <v>3.72</v>
      </c>
      <c r="L18">
        <v>25.74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U18">
        <v>0.21360000000000001</v>
      </c>
      <c r="V18">
        <v>4.0000000000000001E-3</v>
      </c>
      <c r="W18">
        <v>1.0999999999999999E-2</v>
      </c>
      <c r="X18">
        <v>9.9299999999999999E-2</v>
      </c>
      <c r="Y18">
        <v>1.0999999999999999E-2</v>
      </c>
      <c r="Z18">
        <v>8.5300000000000001E-2</v>
      </c>
      <c r="AA18">
        <v>0.2286</v>
      </c>
      <c r="AB18">
        <v>0.1956</v>
      </c>
      <c r="AC18">
        <v>0.37309999999999999</v>
      </c>
      <c r="AD18">
        <v>0.26150000000000001</v>
      </c>
      <c r="AE18">
        <v>0.50770000000000004</v>
      </c>
      <c r="AF18">
        <v>0.5</v>
      </c>
    </row>
    <row r="19" spans="1:32" x14ac:dyDescent="0.25">
      <c r="A19" t="s">
        <v>53</v>
      </c>
      <c r="B19" t="s">
        <v>33</v>
      </c>
      <c r="C19" t="s">
        <v>32</v>
      </c>
      <c r="D19" t="s">
        <v>37</v>
      </c>
      <c r="E19">
        <v>44.33</v>
      </c>
      <c r="F19">
        <v>45.24</v>
      </c>
      <c r="G19">
        <v>51.960000000000008</v>
      </c>
      <c r="H19">
        <v>63.79</v>
      </c>
      <c r="I19">
        <v>51.959999999999987</v>
      </c>
      <c r="J19">
        <v>51.349999999999987</v>
      </c>
      <c r="K19">
        <v>0.61</v>
      </c>
      <c r="L19">
        <v>4.9000000000000004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U19">
        <v>5.5199999999999999E-2</v>
      </c>
      <c r="V19">
        <v>5.7200000000000001E-2</v>
      </c>
      <c r="W19">
        <v>2.7099999999999999E-2</v>
      </c>
      <c r="X19">
        <v>8.8300000000000003E-2</v>
      </c>
      <c r="Y19">
        <v>4.0099999999999997E-2</v>
      </c>
      <c r="Z19">
        <v>5.1200000000000002E-2</v>
      </c>
      <c r="AA19">
        <v>0.13950000000000001</v>
      </c>
      <c r="AB19">
        <v>0.17960000000000001</v>
      </c>
      <c r="AC19">
        <v>0.36209999999999998</v>
      </c>
      <c r="AD19">
        <v>0.30730000000000002</v>
      </c>
      <c r="AE19">
        <v>0.49159999999999998</v>
      </c>
      <c r="AF19">
        <v>0.5323</v>
      </c>
    </row>
    <row r="20" spans="1:32" x14ac:dyDescent="0.25">
      <c r="A20" t="s">
        <v>54</v>
      </c>
      <c r="B20" t="s">
        <v>35</v>
      </c>
      <c r="C20" t="s">
        <v>31</v>
      </c>
      <c r="D20" t="s">
        <v>32</v>
      </c>
      <c r="E20">
        <v>40.020000000000003</v>
      </c>
      <c r="F20">
        <v>40.520000000000003</v>
      </c>
      <c r="G20">
        <v>45.24</v>
      </c>
      <c r="H20">
        <v>57.27</v>
      </c>
      <c r="I20">
        <v>40.619999999999997</v>
      </c>
      <c r="J20">
        <v>44.63</v>
      </c>
      <c r="K20">
        <v>-4.01</v>
      </c>
      <c r="L20">
        <v>-31.72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U20">
        <v>3.9100000000000003E-2</v>
      </c>
      <c r="V20">
        <v>3.9100000000000003E-2</v>
      </c>
      <c r="W20">
        <v>3.8100000000000002E-2</v>
      </c>
      <c r="X20">
        <v>8.9300000000000004E-2</v>
      </c>
      <c r="Y20">
        <v>3.8100000000000002E-2</v>
      </c>
      <c r="Z20">
        <v>4.41E-2</v>
      </c>
      <c r="AA20">
        <v>0.1163</v>
      </c>
      <c r="AB20">
        <v>0.17150000000000001</v>
      </c>
      <c r="AC20">
        <v>0.42730000000000001</v>
      </c>
      <c r="AD20">
        <v>0.26319999999999999</v>
      </c>
      <c r="AE20">
        <v>0.25729999999999997</v>
      </c>
      <c r="AF20">
        <v>0.26190000000000002</v>
      </c>
    </row>
    <row r="21" spans="1:32" x14ac:dyDescent="0.25">
      <c r="A21" t="s">
        <v>55</v>
      </c>
      <c r="B21" t="s">
        <v>32</v>
      </c>
      <c r="C21" t="s">
        <v>33</v>
      </c>
      <c r="D21" t="s">
        <v>37</v>
      </c>
      <c r="E21">
        <v>32</v>
      </c>
      <c r="F21">
        <v>51.249999999999993</v>
      </c>
      <c r="G21">
        <v>51.960000000000008</v>
      </c>
      <c r="H21">
        <v>64.39</v>
      </c>
      <c r="I21">
        <v>51.959999999999987</v>
      </c>
      <c r="J21">
        <v>48.45</v>
      </c>
      <c r="K21">
        <v>3.51</v>
      </c>
      <c r="L21">
        <v>22.02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U21">
        <v>0.1484</v>
      </c>
      <c r="V21">
        <v>8.9999999999999993E-3</v>
      </c>
      <c r="W21">
        <v>1.4999999999999999E-2</v>
      </c>
      <c r="X21">
        <v>9.4299999999999995E-2</v>
      </c>
      <c r="Y21">
        <v>2.81E-2</v>
      </c>
      <c r="Z21">
        <v>8.1199999999999994E-2</v>
      </c>
      <c r="AA21">
        <v>0.1724</v>
      </c>
      <c r="AB21">
        <v>0.2036</v>
      </c>
      <c r="AC21">
        <v>0.35610000000000003</v>
      </c>
      <c r="AD21">
        <v>0.2167</v>
      </c>
      <c r="AE21">
        <v>0.46310000000000001</v>
      </c>
      <c r="AF21">
        <v>0.45910000000000001</v>
      </c>
    </row>
    <row r="22" spans="1:32" x14ac:dyDescent="0.25">
      <c r="A22" t="s">
        <v>56</v>
      </c>
      <c r="B22" t="s">
        <v>33</v>
      </c>
      <c r="C22" t="s">
        <v>35</v>
      </c>
      <c r="D22" t="s">
        <v>37</v>
      </c>
      <c r="E22">
        <v>45.44</v>
      </c>
      <c r="F22">
        <v>45.84</v>
      </c>
      <c r="G22">
        <v>51.960000000000008</v>
      </c>
      <c r="H22">
        <v>65.400000000000006</v>
      </c>
      <c r="I22">
        <v>51.959999999999987</v>
      </c>
      <c r="J22">
        <v>51.55</v>
      </c>
      <c r="K22">
        <v>0.41</v>
      </c>
      <c r="L22">
        <v>2.96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U22">
        <v>6.0199999999999997E-2</v>
      </c>
      <c r="V22">
        <v>6.8199999999999997E-2</v>
      </c>
      <c r="W22">
        <v>2.81E-2</v>
      </c>
      <c r="X22">
        <v>8.0199999999999994E-2</v>
      </c>
      <c r="Y22">
        <v>4.7100000000000003E-2</v>
      </c>
      <c r="Z22">
        <v>5.9200000000000003E-2</v>
      </c>
      <c r="AA22">
        <v>0.1565</v>
      </c>
      <c r="AB22">
        <v>0.1865</v>
      </c>
      <c r="AC22">
        <v>0.34599999999999997</v>
      </c>
      <c r="AD22">
        <v>0.2581</v>
      </c>
      <c r="AE22">
        <v>0.43009999999999998</v>
      </c>
      <c r="AF22">
        <v>0.442</v>
      </c>
    </row>
    <row r="23" spans="1:32" x14ac:dyDescent="0.25">
      <c r="A23" t="s">
        <v>57</v>
      </c>
      <c r="B23" t="s">
        <v>35</v>
      </c>
      <c r="C23" t="s">
        <v>31</v>
      </c>
      <c r="D23" t="s">
        <v>32</v>
      </c>
      <c r="E23">
        <v>42.98</v>
      </c>
      <c r="F23">
        <v>40.520000000000003</v>
      </c>
      <c r="G23">
        <v>45.24</v>
      </c>
      <c r="H23">
        <v>59.63</v>
      </c>
      <c r="I23">
        <v>42.98</v>
      </c>
      <c r="J23">
        <v>45.34</v>
      </c>
      <c r="K23">
        <v>-2.36</v>
      </c>
      <c r="L23">
        <v>-16.52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U23">
        <v>4.2099999999999999E-2</v>
      </c>
      <c r="V23">
        <v>4.5100000000000001E-2</v>
      </c>
      <c r="W23">
        <v>4.1099999999999998E-2</v>
      </c>
      <c r="X23">
        <v>8.3199999999999996E-2</v>
      </c>
      <c r="Y23">
        <v>6.1699999999999998E-2</v>
      </c>
      <c r="Z23">
        <v>4.1099999999999998E-2</v>
      </c>
      <c r="AA23">
        <v>0.1283</v>
      </c>
      <c r="AB23">
        <v>0.186</v>
      </c>
      <c r="AC23">
        <v>0.4037</v>
      </c>
      <c r="AD23">
        <v>0.23180000000000001</v>
      </c>
      <c r="AE23">
        <v>0.33150000000000002</v>
      </c>
      <c r="AF23">
        <v>0.29820000000000002</v>
      </c>
    </row>
    <row r="25" spans="1:32" x14ac:dyDescent="0.25">
      <c r="I25">
        <f>SUM(I2:I23)/COUNTA(I2:I23)</f>
        <v>43.471904761904774</v>
      </c>
      <c r="J25">
        <f t="shared" ref="J25:AE25" si="0">SUM(J2:J23)/COUNTA(J2:J23)</f>
        <v>45.057619047619049</v>
      </c>
      <c r="K25">
        <f t="shared" si="0"/>
        <v>-1.5857142857142859</v>
      </c>
      <c r="L25">
        <f t="shared" si="0"/>
        <v>-11.785714285714285</v>
      </c>
      <c r="M25" t="e">
        <f t="shared" si="0"/>
        <v>#DIV/0!</v>
      </c>
      <c r="N25">
        <f t="shared" si="0"/>
        <v>0.14285714285714285</v>
      </c>
      <c r="O25">
        <f t="shared" si="0"/>
        <v>0.90476190476190477</v>
      </c>
      <c r="P25">
        <f t="shared" si="0"/>
        <v>1</v>
      </c>
      <c r="Q25">
        <f t="shared" si="0"/>
        <v>0.14285714285714285</v>
      </c>
      <c r="R25">
        <f t="shared" si="0"/>
        <v>0.76190476190476186</v>
      </c>
      <c r="S25">
        <f t="shared" si="0"/>
        <v>1</v>
      </c>
      <c r="T25" t="e">
        <f t="shared" si="0"/>
        <v>#DIV/0!</v>
      </c>
      <c r="U25">
        <f t="shared" si="0"/>
        <v>8.4309523809523806E-2</v>
      </c>
      <c r="V25">
        <f t="shared" si="0"/>
        <v>4.1752380952380964E-2</v>
      </c>
      <c r="W25">
        <f t="shared" si="0"/>
        <v>3.3709523809523821E-2</v>
      </c>
      <c r="X25">
        <f t="shared" si="0"/>
        <v>7.5552380952380954E-2</v>
      </c>
      <c r="Y25">
        <f t="shared" si="0"/>
        <v>4.5314285714285724E-2</v>
      </c>
      <c r="Z25">
        <f t="shared" si="0"/>
        <v>7.5747619047619036E-2</v>
      </c>
      <c r="AA25">
        <f t="shared" si="0"/>
        <v>0.15977142857142859</v>
      </c>
      <c r="AB25">
        <f t="shared" si="0"/>
        <v>0.19661428571428574</v>
      </c>
      <c r="AC25">
        <f t="shared" si="0"/>
        <v>0.40404285714285715</v>
      </c>
      <c r="AD25">
        <f t="shared" si="0"/>
        <v>0.25948095238095237</v>
      </c>
      <c r="AE25">
        <f t="shared" si="0"/>
        <v>0.38141428571428565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35</v>
      </c>
      <c r="C2" t="s">
        <v>32</v>
      </c>
      <c r="D2" t="s">
        <v>33</v>
      </c>
      <c r="E2">
        <v>81.34</v>
      </c>
      <c r="F2">
        <v>90.96</v>
      </c>
      <c r="G2">
        <v>89.9</v>
      </c>
      <c r="H2">
        <v>96.63000000000001</v>
      </c>
      <c r="I2">
        <v>90.96</v>
      </c>
      <c r="J2">
        <v>92.259999999999991</v>
      </c>
      <c r="K2">
        <v>-1.3</v>
      </c>
      <c r="L2">
        <v>-29.75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>
        <v>0.1106</v>
      </c>
      <c r="V2">
        <v>2.1600000000000001E-2</v>
      </c>
      <c r="W2">
        <v>2.8400000000000002E-2</v>
      </c>
      <c r="X2">
        <v>1.9199999999999998E-2</v>
      </c>
      <c r="Y2">
        <v>1.5800000000000002E-2</v>
      </c>
      <c r="Z2">
        <v>2.3099999999999999E-2</v>
      </c>
      <c r="AA2">
        <v>0.16059999999999999</v>
      </c>
      <c r="AB2">
        <v>5.8099999999999999E-2</v>
      </c>
      <c r="AC2">
        <v>3.3700000000000001E-2</v>
      </c>
      <c r="AD2">
        <v>0.249</v>
      </c>
      <c r="AE2">
        <v>0.39729999999999999</v>
      </c>
      <c r="AF2">
        <v>0.41670000000000001</v>
      </c>
    </row>
    <row r="3" spans="1:32" x14ac:dyDescent="0.25">
      <c r="A3" t="s">
        <v>34</v>
      </c>
      <c r="B3" t="s">
        <v>35</v>
      </c>
      <c r="C3" t="s">
        <v>33</v>
      </c>
      <c r="D3" t="s">
        <v>32</v>
      </c>
      <c r="E3">
        <v>88.03</v>
      </c>
      <c r="F3">
        <v>87.04</v>
      </c>
      <c r="G3">
        <v>87.27</v>
      </c>
      <c r="H3">
        <v>96.66</v>
      </c>
      <c r="I3">
        <v>87.27000000000001</v>
      </c>
      <c r="J3">
        <v>91.97999999999999</v>
      </c>
      <c r="K3">
        <v>-4.71</v>
      </c>
      <c r="L3">
        <v>-100.64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U3">
        <v>4.8099999999999997E-2</v>
      </c>
      <c r="V3">
        <v>6.54E-2</v>
      </c>
      <c r="W3">
        <v>4.9299999999999997E-2</v>
      </c>
      <c r="X3">
        <v>1.2200000000000001E-2</v>
      </c>
      <c r="Y3">
        <v>1.8599999999999998E-2</v>
      </c>
      <c r="Z3">
        <v>2.5999999999999999E-2</v>
      </c>
      <c r="AA3">
        <v>0.1628</v>
      </c>
      <c r="AB3">
        <v>5.6800000000000003E-2</v>
      </c>
      <c r="AC3">
        <v>3.3399999999999999E-2</v>
      </c>
      <c r="AD3">
        <v>0.1757</v>
      </c>
      <c r="AE3">
        <v>0.21479999999999999</v>
      </c>
      <c r="AF3">
        <v>0.19800000000000001</v>
      </c>
    </row>
    <row r="4" spans="1:32" x14ac:dyDescent="0.25">
      <c r="A4" t="s">
        <v>36</v>
      </c>
      <c r="B4" t="s">
        <v>37</v>
      </c>
      <c r="C4" t="s">
        <v>35</v>
      </c>
      <c r="D4" t="s">
        <v>31</v>
      </c>
      <c r="E4">
        <v>96.92</v>
      </c>
      <c r="F4">
        <v>84.95</v>
      </c>
      <c r="G4">
        <v>95.51</v>
      </c>
      <c r="H4">
        <v>99.03</v>
      </c>
      <c r="I4">
        <v>96.92</v>
      </c>
      <c r="J4">
        <v>96.289999999999992</v>
      </c>
      <c r="K4">
        <v>0.63</v>
      </c>
      <c r="L4">
        <v>22.99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U4">
        <v>8.8000000000000005E-3</v>
      </c>
      <c r="V4">
        <v>0.11219999999999999</v>
      </c>
      <c r="W4">
        <v>1.14E-2</v>
      </c>
      <c r="X4">
        <v>8.6E-3</v>
      </c>
      <c r="Y4">
        <v>2.01E-2</v>
      </c>
      <c r="Z4">
        <v>3.8E-3</v>
      </c>
      <c r="AA4">
        <v>0.13239999999999999</v>
      </c>
      <c r="AB4">
        <v>3.2500000000000001E-2</v>
      </c>
      <c r="AC4">
        <v>9.7000000000000003E-3</v>
      </c>
      <c r="AD4">
        <v>0.1537</v>
      </c>
      <c r="AE4">
        <v>0.61950000000000005</v>
      </c>
      <c r="AF4">
        <v>0.61380000000000001</v>
      </c>
    </row>
    <row r="5" spans="1:32" x14ac:dyDescent="0.25">
      <c r="A5" t="s">
        <v>38</v>
      </c>
      <c r="B5" t="s">
        <v>32</v>
      </c>
      <c r="C5" t="s">
        <v>37</v>
      </c>
      <c r="D5" t="s">
        <v>31</v>
      </c>
      <c r="E5">
        <v>91.11</v>
      </c>
      <c r="F5">
        <v>98.25</v>
      </c>
      <c r="G5">
        <v>96.18</v>
      </c>
      <c r="H5">
        <v>99.36</v>
      </c>
      <c r="I5">
        <v>98.25</v>
      </c>
      <c r="J5">
        <v>97.97</v>
      </c>
      <c r="K5">
        <v>0.28000000000000003</v>
      </c>
      <c r="L5">
        <v>20.14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U5">
        <v>6.5699999999999995E-2</v>
      </c>
      <c r="V5">
        <v>2.7000000000000001E-3</v>
      </c>
      <c r="W5">
        <v>1.8100000000000002E-2</v>
      </c>
      <c r="X5">
        <v>5.7000000000000002E-3</v>
      </c>
      <c r="Y5">
        <v>2.7000000000000001E-3</v>
      </c>
      <c r="Z5">
        <v>1.11E-2</v>
      </c>
      <c r="AA5">
        <v>8.6499999999999994E-2</v>
      </c>
      <c r="AB5">
        <v>1.95E-2</v>
      </c>
      <c r="AC5">
        <v>6.4000000000000003E-3</v>
      </c>
      <c r="AD5">
        <v>0.28460000000000002</v>
      </c>
      <c r="AE5">
        <v>0.56910000000000005</v>
      </c>
      <c r="AF5">
        <v>0.63639999999999997</v>
      </c>
    </row>
    <row r="6" spans="1:32" x14ac:dyDescent="0.25">
      <c r="A6" t="s">
        <v>39</v>
      </c>
      <c r="B6" t="s">
        <v>33</v>
      </c>
      <c r="C6" t="s">
        <v>31</v>
      </c>
      <c r="D6" t="s">
        <v>32</v>
      </c>
      <c r="E6">
        <v>91.75</v>
      </c>
      <c r="F6">
        <v>96.09</v>
      </c>
      <c r="G6">
        <v>90.85</v>
      </c>
      <c r="H6">
        <v>98.5</v>
      </c>
      <c r="I6">
        <v>96.09</v>
      </c>
      <c r="J6">
        <v>95.78</v>
      </c>
      <c r="K6">
        <v>0.31</v>
      </c>
      <c r="L6">
        <v>11.4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U6">
        <v>3.85E-2</v>
      </c>
      <c r="V6">
        <v>1.2E-2</v>
      </c>
      <c r="W6">
        <v>4.7899999999999998E-2</v>
      </c>
      <c r="X6">
        <v>6.3E-3</v>
      </c>
      <c r="Y6">
        <v>5.8999999999999999E-3</v>
      </c>
      <c r="Z6">
        <v>2.2800000000000001E-2</v>
      </c>
      <c r="AA6">
        <v>9.8400000000000001E-2</v>
      </c>
      <c r="AB6">
        <v>3.5000000000000003E-2</v>
      </c>
      <c r="AC6">
        <v>1.4999999999999999E-2</v>
      </c>
      <c r="AD6">
        <v>0.22170000000000001</v>
      </c>
      <c r="AE6">
        <v>0.65159999999999996</v>
      </c>
      <c r="AF6">
        <v>0.64829999999999999</v>
      </c>
    </row>
    <row r="7" spans="1:32" x14ac:dyDescent="0.25">
      <c r="A7" t="s">
        <v>40</v>
      </c>
      <c r="B7" t="s">
        <v>33</v>
      </c>
      <c r="C7" t="s">
        <v>31</v>
      </c>
      <c r="D7" t="s">
        <v>35</v>
      </c>
      <c r="E7">
        <v>75.680000000000007</v>
      </c>
      <c r="F7">
        <v>90.63</v>
      </c>
      <c r="G7">
        <v>76.510000000000005</v>
      </c>
      <c r="H7">
        <v>96.06</v>
      </c>
      <c r="I7">
        <v>90.63</v>
      </c>
      <c r="J7">
        <v>87</v>
      </c>
      <c r="K7">
        <v>3.63</v>
      </c>
      <c r="L7">
        <v>40.07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U7">
        <v>0.12820000000000001</v>
      </c>
      <c r="V7">
        <v>1.4999999999999999E-2</v>
      </c>
      <c r="W7">
        <v>9.7100000000000006E-2</v>
      </c>
      <c r="X7">
        <v>8.2000000000000007E-3</v>
      </c>
      <c r="Y7">
        <v>3.1099999999999999E-2</v>
      </c>
      <c r="Z7">
        <v>6.7500000000000004E-2</v>
      </c>
      <c r="AA7">
        <v>0.24030000000000001</v>
      </c>
      <c r="AB7">
        <v>0.10680000000000001</v>
      </c>
      <c r="AC7">
        <v>3.9399999999999998E-2</v>
      </c>
      <c r="AD7">
        <v>0.15060000000000001</v>
      </c>
      <c r="AE7">
        <v>0.63200000000000001</v>
      </c>
      <c r="AF7">
        <v>0.62529999999999997</v>
      </c>
    </row>
    <row r="8" spans="1:32" x14ac:dyDescent="0.25">
      <c r="A8" t="s">
        <v>41</v>
      </c>
      <c r="B8" t="s">
        <v>32</v>
      </c>
      <c r="C8" t="s">
        <v>31</v>
      </c>
      <c r="D8" t="s">
        <v>37</v>
      </c>
      <c r="E8">
        <v>88.86</v>
      </c>
      <c r="F8">
        <v>92.67</v>
      </c>
      <c r="G8">
        <v>97.7</v>
      </c>
      <c r="H8">
        <v>98.52</v>
      </c>
      <c r="I8">
        <v>97.7</v>
      </c>
      <c r="J8">
        <v>96.27</v>
      </c>
      <c r="K8">
        <v>1.43</v>
      </c>
      <c r="L8">
        <v>63.56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U8">
        <v>6.7799999999999999E-2</v>
      </c>
      <c r="V8">
        <v>3.2199999999999999E-2</v>
      </c>
      <c r="W8">
        <v>1.1999999999999999E-3</v>
      </c>
      <c r="X8">
        <v>2.41E-2</v>
      </c>
      <c r="Y8">
        <v>2.3E-3</v>
      </c>
      <c r="Z8">
        <v>4.7999999999999996E-3</v>
      </c>
      <c r="AA8">
        <v>0.1012</v>
      </c>
      <c r="AB8">
        <v>3.1199999999999999E-2</v>
      </c>
      <c r="AC8">
        <v>1.4800000000000001E-2</v>
      </c>
      <c r="AD8">
        <v>0.27739999999999998</v>
      </c>
      <c r="AE8">
        <v>0.77349999999999997</v>
      </c>
      <c r="AF8">
        <v>0.79579999999999995</v>
      </c>
    </row>
    <row r="9" spans="1:32" x14ac:dyDescent="0.25">
      <c r="A9" t="s">
        <v>42</v>
      </c>
      <c r="B9" t="s">
        <v>35</v>
      </c>
      <c r="C9" t="s">
        <v>31</v>
      </c>
      <c r="D9" t="s">
        <v>32</v>
      </c>
      <c r="E9">
        <v>91.22</v>
      </c>
      <c r="F9">
        <v>95.11</v>
      </c>
      <c r="G9">
        <v>47.19</v>
      </c>
      <c r="H9">
        <v>97.76</v>
      </c>
      <c r="I9">
        <v>91.2</v>
      </c>
      <c r="J9">
        <v>92.22</v>
      </c>
      <c r="K9">
        <v>-1.02</v>
      </c>
      <c r="L9">
        <v>-18.41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U9">
        <v>1.03E-2</v>
      </c>
      <c r="V9">
        <v>6.7000000000000002E-3</v>
      </c>
      <c r="W9">
        <v>0.43309999999999998</v>
      </c>
      <c r="X9">
        <v>1.2999999999999999E-3</v>
      </c>
      <c r="Y9">
        <v>1.8499999999999999E-2</v>
      </c>
      <c r="Z9">
        <v>5.3999999999999999E-2</v>
      </c>
      <c r="AA9">
        <v>0.4501</v>
      </c>
      <c r="AB9">
        <v>7.3800000000000004E-2</v>
      </c>
      <c r="AC9">
        <v>2.24E-2</v>
      </c>
      <c r="AD9">
        <v>0.25</v>
      </c>
      <c r="AE9">
        <v>0.25109999999999999</v>
      </c>
      <c r="AF9">
        <v>0.24030000000000001</v>
      </c>
    </row>
    <row r="10" spans="1:32" x14ac:dyDescent="0.25">
      <c r="A10" t="s">
        <v>43</v>
      </c>
      <c r="B10" t="s">
        <v>35</v>
      </c>
      <c r="C10" t="s">
        <v>33</v>
      </c>
      <c r="D10" t="s">
        <v>37</v>
      </c>
      <c r="E10">
        <v>69.959999999999994</v>
      </c>
      <c r="F10">
        <v>88.73</v>
      </c>
      <c r="G10">
        <v>91.49</v>
      </c>
      <c r="H10">
        <v>96.679999999999993</v>
      </c>
      <c r="I10">
        <v>91.5</v>
      </c>
      <c r="J10">
        <v>91.07</v>
      </c>
      <c r="K10">
        <v>0.43</v>
      </c>
      <c r="L10">
        <v>7.66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U10">
        <v>0.19939999999999999</v>
      </c>
      <c r="V10">
        <v>3.0800000000000001E-2</v>
      </c>
      <c r="W10">
        <v>1.9599999999999999E-2</v>
      </c>
      <c r="X10">
        <v>4.2000000000000003E-2</v>
      </c>
      <c r="Y10">
        <v>6.7000000000000002E-3</v>
      </c>
      <c r="Z10">
        <v>2.5499999999999998E-2</v>
      </c>
      <c r="AA10">
        <v>0.24979999999999999</v>
      </c>
      <c r="AB10">
        <v>7.4200000000000002E-2</v>
      </c>
      <c r="AC10">
        <v>3.32E-2</v>
      </c>
      <c r="AD10">
        <v>0.24329999999999999</v>
      </c>
      <c r="AE10">
        <v>0.56669999999999998</v>
      </c>
      <c r="AF10">
        <v>0.5867</v>
      </c>
    </row>
    <row r="11" spans="1:32" x14ac:dyDescent="0.25">
      <c r="A11" t="s">
        <v>44</v>
      </c>
      <c r="B11" t="s">
        <v>32</v>
      </c>
      <c r="C11" t="s">
        <v>35</v>
      </c>
      <c r="D11" t="s">
        <v>37</v>
      </c>
      <c r="E11">
        <v>87.32</v>
      </c>
      <c r="F11">
        <v>84.53</v>
      </c>
      <c r="G11">
        <v>96.19</v>
      </c>
      <c r="H11">
        <v>98.5</v>
      </c>
      <c r="I11">
        <v>96.19</v>
      </c>
      <c r="J11">
        <v>93.65</v>
      </c>
      <c r="K11">
        <v>2.54</v>
      </c>
      <c r="L11">
        <v>52.37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U11">
        <v>5.3900000000000003E-2</v>
      </c>
      <c r="V11">
        <v>8.6099999999999996E-2</v>
      </c>
      <c r="W11">
        <v>6.1000000000000004E-3</v>
      </c>
      <c r="X11">
        <v>4.7300000000000002E-2</v>
      </c>
      <c r="Y11">
        <v>6.3E-3</v>
      </c>
      <c r="Z11">
        <v>1.0699999999999999E-2</v>
      </c>
      <c r="AA11">
        <v>0.14610000000000001</v>
      </c>
      <c r="AB11">
        <v>6.4299999999999996E-2</v>
      </c>
      <c r="AC11">
        <v>1.4999999999999999E-2</v>
      </c>
      <c r="AD11">
        <v>0.24510000000000001</v>
      </c>
      <c r="AE11">
        <v>0.73519999999999996</v>
      </c>
      <c r="AF11">
        <v>0.72430000000000005</v>
      </c>
    </row>
    <row r="12" spans="1:32" x14ac:dyDescent="0.25">
      <c r="A12" t="s">
        <v>45</v>
      </c>
      <c r="B12" t="s">
        <v>35</v>
      </c>
      <c r="C12" t="s">
        <v>33</v>
      </c>
      <c r="D12" t="s">
        <v>37</v>
      </c>
      <c r="E12">
        <v>63.9</v>
      </c>
      <c r="F12">
        <v>85.32</v>
      </c>
      <c r="G12">
        <v>93.78</v>
      </c>
      <c r="H12">
        <v>95.91</v>
      </c>
      <c r="I12">
        <v>93.78</v>
      </c>
      <c r="J12">
        <v>89.64</v>
      </c>
      <c r="K12">
        <v>4.1399999999999997</v>
      </c>
      <c r="L12">
        <v>66.03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U12">
        <v>0.23799999999999999</v>
      </c>
      <c r="V12">
        <v>3.0599999999999999E-2</v>
      </c>
      <c r="W12">
        <v>3.8999999999999998E-3</v>
      </c>
      <c r="X12">
        <v>7.0000000000000007E-2</v>
      </c>
      <c r="Y12">
        <v>5.4000000000000003E-3</v>
      </c>
      <c r="Z12">
        <v>1.2E-2</v>
      </c>
      <c r="AA12">
        <v>0.27250000000000002</v>
      </c>
      <c r="AB12">
        <v>8.7400000000000005E-2</v>
      </c>
      <c r="AC12">
        <v>4.0899999999999999E-2</v>
      </c>
      <c r="AD12">
        <v>0.28170000000000001</v>
      </c>
      <c r="AE12">
        <v>0.80069999999999997</v>
      </c>
      <c r="AF12">
        <v>0.80200000000000005</v>
      </c>
    </row>
    <row r="14" spans="1:32" x14ac:dyDescent="0.25">
      <c r="A14" t="s">
        <v>48</v>
      </c>
      <c r="B14" t="s">
        <v>32</v>
      </c>
      <c r="C14" t="s">
        <v>31</v>
      </c>
      <c r="D14" t="s">
        <v>37</v>
      </c>
      <c r="E14">
        <v>87.27</v>
      </c>
      <c r="F14">
        <v>98.17</v>
      </c>
      <c r="G14">
        <v>96.65</v>
      </c>
      <c r="H14">
        <v>99.56</v>
      </c>
      <c r="I14">
        <v>98.17</v>
      </c>
      <c r="J14">
        <v>97.38</v>
      </c>
      <c r="K14">
        <v>0.79</v>
      </c>
      <c r="L14">
        <v>36.24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9.64E-2</v>
      </c>
      <c r="V14">
        <v>4.7999999999999996E-3</v>
      </c>
      <c r="W14">
        <v>7.7000000000000002E-3</v>
      </c>
      <c r="X14">
        <v>7.1000000000000004E-3</v>
      </c>
      <c r="Y14">
        <v>2E-3</v>
      </c>
      <c r="Z14">
        <v>1.9400000000000001E-2</v>
      </c>
      <c r="AA14">
        <v>0.1089</v>
      </c>
      <c r="AB14">
        <v>2.8500000000000001E-2</v>
      </c>
      <c r="AC14">
        <v>4.4000000000000003E-3</v>
      </c>
      <c r="AD14">
        <v>0.2361</v>
      </c>
      <c r="AE14">
        <v>0.68059999999999998</v>
      </c>
      <c r="AF14">
        <v>0.66910000000000003</v>
      </c>
    </row>
    <row r="15" spans="1:32" x14ac:dyDescent="0.25">
      <c r="A15" t="s">
        <v>49</v>
      </c>
      <c r="B15" t="s">
        <v>32</v>
      </c>
      <c r="C15" t="s">
        <v>35</v>
      </c>
      <c r="D15" t="s">
        <v>37</v>
      </c>
      <c r="E15">
        <v>90.12</v>
      </c>
      <c r="F15">
        <v>81.34</v>
      </c>
      <c r="G15">
        <v>96.65</v>
      </c>
      <c r="H15">
        <v>98.21</v>
      </c>
      <c r="I15">
        <v>96.65</v>
      </c>
      <c r="J15">
        <v>94.55</v>
      </c>
      <c r="K15">
        <v>2.1</v>
      </c>
      <c r="L15">
        <v>57.38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U15">
        <v>4.1599999999999998E-2</v>
      </c>
      <c r="V15">
        <v>0.12640000000000001</v>
      </c>
      <c r="W15">
        <v>4.0000000000000001E-3</v>
      </c>
      <c r="X15">
        <v>3.5099999999999999E-2</v>
      </c>
      <c r="Y15">
        <v>7.4000000000000003E-3</v>
      </c>
      <c r="Z15">
        <v>4.1999999999999997E-3</v>
      </c>
      <c r="AA15">
        <v>0.17199999999999999</v>
      </c>
      <c r="AB15">
        <v>4.6699999999999998E-2</v>
      </c>
      <c r="AC15">
        <v>1.7899999999999999E-2</v>
      </c>
      <c r="AD15">
        <v>0.21560000000000001</v>
      </c>
      <c r="AE15">
        <v>0.75209999999999999</v>
      </c>
      <c r="AF15">
        <v>0.75109999999999999</v>
      </c>
    </row>
    <row r="16" spans="1:32" x14ac:dyDescent="0.25">
      <c r="A16" t="s">
        <v>50</v>
      </c>
      <c r="B16" t="s">
        <v>32</v>
      </c>
      <c r="C16" t="s">
        <v>35</v>
      </c>
      <c r="D16" t="s">
        <v>31</v>
      </c>
      <c r="E16">
        <v>91.11</v>
      </c>
      <c r="F16">
        <v>81.34</v>
      </c>
      <c r="G16">
        <v>98.17</v>
      </c>
      <c r="H16">
        <v>99.14</v>
      </c>
      <c r="I16">
        <v>98.17</v>
      </c>
      <c r="J16">
        <v>95.43</v>
      </c>
      <c r="K16">
        <v>2.74</v>
      </c>
      <c r="L16">
        <v>73.849999999999994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U16">
        <v>3.4200000000000001E-2</v>
      </c>
      <c r="V16">
        <v>0.13289999999999999</v>
      </c>
      <c r="W16">
        <v>3.8999999999999998E-3</v>
      </c>
      <c r="X16">
        <v>4.2799999999999998E-2</v>
      </c>
      <c r="Y16">
        <v>2.5000000000000001E-3</v>
      </c>
      <c r="Z16">
        <v>3.3E-3</v>
      </c>
      <c r="AA16">
        <v>0.17100000000000001</v>
      </c>
      <c r="AB16">
        <v>4.8599999999999997E-2</v>
      </c>
      <c r="AC16">
        <v>8.6E-3</v>
      </c>
      <c r="AD16">
        <v>0.23649999999999999</v>
      </c>
      <c r="AE16">
        <v>0.88090000000000002</v>
      </c>
      <c r="AF16">
        <v>0.88890000000000002</v>
      </c>
    </row>
    <row r="17" spans="1:32" x14ac:dyDescent="0.25">
      <c r="A17" t="s">
        <v>51</v>
      </c>
      <c r="B17" t="s">
        <v>35</v>
      </c>
      <c r="C17" t="s">
        <v>37</v>
      </c>
      <c r="D17" t="s">
        <v>31</v>
      </c>
      <c r="E17">
        <v>88.69</v>
      </c>
      <c r="F17">
        <v>96.65</v>
      </c>
      <c r="G17">
        <v>98.17</v>
      </c>
      <c r="H17">
        <v>99.56</v>
      </c>
      <c r="I17">
        <v>98.17</v>
      </c>
      <c r="J17">
        <v>97.41</v>
      </c>
      <c r="K17">
        <v>0.76</v>
      </c>
      <c r="L17">
        <v>35.35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U17">
        <v>8.3900000000000002E-2</v>
      </c>
      <c r="V17">
        <v>8.9999999999999993E-3</v>
      </c>
      <c r="W17">
        <v>5.1999999999999998E-3</v>
      </c>
      <c r="X17">
        <v>1.8100000000000002E-2</v>
      </c>
      <c r="Y17">
        <v>2E-3</v>
      </c>
      <c r="Z17">
        <v>6.7000000000000002E-3</v>
      </c>
      <c r="AA17">
        <v>9.8099999999999993E-2</v>
      </c>
      <c r="AB17">
        <v>2.6800000000000001E-2</v>
      </c>
      <c r="AC17">
        <v>4.4000000000000003E-3</v>
      </c>
      <c r="AD17">
        <v>0.1958</v>
      </c>
      <c r="AE17">
        <v>0.67659999999999998</v>
      </c>
      <c r="AF17">
        <v>0.64939999999999998</v>
      </c>
    </row>
    <row r="18" spans="1:32" x14ac:dyDescent="0.25">
      <c r="A18" t="s">
        <v>52</v>
      </c>
      <c r="B18" t="s">
        <v>33</v>
      </c>
      <c r="C18" t="s">
        <v>37</v>
      </c>
      <c r="D18" t="s">
        <v>35</v>
      </c>
      <c r="E18">
        <v>75.680000000000007</v>
      </c>
      <c r="F18">
        <v>96.65</v>
      </c>
      <c r="G18">
        <v>81.34</v>
      </c>
      <c r="H18">
        <v>98.11999999999999</v>
      </c>
      <c r="I18">
        <v>96.65</v>
      </c>
      <c r="J18">
        <v>91.34</v>
      </c>
      <c r="K18">
        <v>5.31</v>
      </c>
      <c r="L18">
        <v>78.319999999999993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U18">
        <v>0.14779999999999999</v>
      </c>
      <c r="V18">
        <v>2.8999999999999998E-3</v>
      </c>
      <c r="W18">
        <v>9.0300000000000005E-2</v>
      </c>
      <c r="X18">
        <v>5.3E-3</v>
      </c>
      <c r="Y18">
        <v>6.4000000000000003E-3</v>
      </c>
      <c r="Z18">
        <v>7.1199999999999999E-2</v>
      </c>
      <c r="AA18">
        <v>0.24099999999999999</v>
      </c>
      <c r="AB18">
        <v>8.2900000000000001E-2</v>
      </c>
      <c r="AC18">
        <v>1.8800000000000001E-2</v>
      </c>
      <c r="AD18">
        <v>0.18240000000000001</v>
      </c>
      <c r="AE18">
        <v>0.85860000000000003</v>
      </c>
      <c r="AF18">
        <v>0.85050000000000003</v>
      </c>
    </row>
    <row r="19" spans="1:32" x14ac:dyDescent="0.25">
      <c r="A19" t="s">
        <v>53</v>
      </c>
      <c r="B19" t="s">
        <v>31</v>
      </c>
      <c r="C19" t="s">
        <v>37</v>
      </c>
      <c r="D19" t="s">
        <v>32</v>
      </c>
      <c r="E19">
        <v>92.67</v>
      </c>
      <c r="F19">
        <v>96.65</v>
      </c>
      <c r="G19">
        <v>90.96</v>
      </c>
      <c r="H19">
        <v>98.65</v>
      </c>
      <c r="I19">
        <v>96.65</v>
      </c>
      <c r="J19">
        <v>96.1</v>
      </c>
      <c r="K19">
        <v>0.55000000000000004</v>
      </c>
      <c r="L19">
        <v>21.57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3.4299999999999997E-2</v>
      </c>
      <c r="V19">
        <v>7.1000000000000004E-3</v>
      </c>
      <c r="W19">
        <v>4.8899999999999999E-2</v>
      </c>
      <c r="X19">
        <v>5.1999999999999998E-3</v>
      </c>
      <c r="Y19">
        <v>7.6E-3</v>
      </c>
      <c r="Z19">
        <v>2.0299999999999999E-2</v>
      </c>
      <c r="AA19">
        <v>9.0299999999999991E-2</v>
      </c>
      <c r="AB19">
        <v>3.3099999999999997E-2</v>
      </c>
      <c r="AC19">
        <v>1.35E-2</v>
      </c>
      <c r="AD19">
        <v>0.2339</v>
      </c>
      <c r="AE19">
        <v>0.61339999999999995</v>
      </c>
      <c r="AF19">
        <v>0.61990000000000001</v>
      </c>
    </row>
    <row r="20" spans="1:32" x14ac:dyDescent="0.25">
      <c r="A20" t="s">
        <v>54</v>
      </c>
      <c r="B20" t="s">
        <v>31</v>
      </c>
      <c r="C20" t="s">
        <v>33</v>
      </c>
      <c r="D20" t="s">
        <v>35</v>
      </c>
      <c r="E20">
        <v>95.11</v>
      </c>
      <c r="F20">
        <v>89.9</v>
      </c>
      <c r="G20">
        <v>81.34</v>
      </c>
      <c r="H20">
        <v>98.17</v>
      </c>
      <c r="I20">
        <v>95.11</v>
      </c>
      <c r="J20">
        <v>93.87</v>
      </c>
      <c r="K20">
        <v>1.24</v>
      </c>
      <c r="L20">
        <v>28.84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1.18E-2</v>
      </c>
      <c r="V20">
        <v>3.8100000000000002E-2</v>
      </c>
      <c r="W20">
        <v>0.1172</v>
      </c>
      <c r="X20">
        <v>6.1999999999999998E-3</v>
      </c>
      <c r="Y20">
        <v>3.8600000000000002E-2</v>
      </c>
      <c r="Z20">
        <v>1.2699999999999999E-2</v>
      </c>
      <c r="AA20">
        <v>0.1671</v>
      </c>
      <c r="AB20">
        <v>5.7500000000000002E-2</v>
      </c>
      <c r="AC20">
        <v>1.83E-2</v>
      </c>
      <c r="AD20">
        <v>0.251</v>
      </c>
      <c r="AE20">
        <v>0.67169999999999996</v>
      </c>
      <c r="AF20">
        <v>0.69979999999999998</v>
      </c>
    </row>
    <row r="21" spans="1:32" x14ac:dyDescent="0.25">
      <c r="A21" t="s">
        <v>55</v>
      </c>
      <c r="B21" t="s">
        <v>33</v>
      </c>
      <c r="C21" t="s">
        <v>31</v>
      </c>
      <c r="D21" t="s">
        <v>35</v>
      </c>
      <c r="E21">
        <v>88.73</v>
      </c>
      <c r="F21">
        <v>98.17</v>
      </c>
      <c r="G21">
        <v>81.34</v>
      </c>
      <c r="H21">
        <v>99.17</v>
      </c>
      <c r="I21">
        <v>98.17</v>
      </c>
      <c r="J21">
        <v>94.6</v>
      </c>
      <c r="K21">
        <v>3.57</v>
      </c>
      <c r="L21">
        <v>78.12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4.4699999999999997E-2</v>
      </c>
      <c r="V21">
        <v>4.1000000000000003E-3</v>
      </c>
      <c r="W21">
        <v>0.11899999999999999</v>
      </c>
      <c r="X21">
        <v>3.0999999999999999E-3</v>
      </c>
      <c r="Y21">
        <v>2.8E-3</v>
      </c>
      <c r="Z21">
        <v>5.6599999999999998E-2</v>
      </c>
      <c r="AA21">
        <v>0.1678</v>
      </c>
      <c r="AB21">
        <v>6.25E-2</v>
      </c>
      <c r="AC21">
        <v>8.3000000000000001E-3</v>
      </c>
      <c r="AD21">
        <v>0.26869999999999999</v>
      </c>
      <c r="AE21">
        <v>0.90620000000000001</v>
      </c>
      <c r="AF21">
        <v>0.92549999999999999</v>
      </c>
    </row>
    <row r="22" spans="1:32" x14ac:dyDescent="0.25">
      <c r="A22" t="s">
        <v>56</v>
      </c>
      <c r="B22" t="s">
        <v>31</v>
      </c>
      <c r="C22" t="s">
        <v>33</v>
      </c>
      <c r="D22" t="s">
        <v>32</v>
      </c>
      <c r="E22">
        <v>91.84</v>
      </c>
      <c r="F22">
        <v>89.9</v>
      </c>
      <c r="G22">
        <v>90.96</v>
      </c>
      <c r="H22">
        <v>97.89</v>
      </c>
      <c r="I22">
        <v>91.84</v>
      </c>
      <c r="J22">
        <v>93.88</v>
      </c>
      <c r="K22">
        <v>-2.04</v>
      </c>
      <c r="L22">
        <v>-50.87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3.73E-2</v>
      </c>
      <c r="V22">
        <v>3.8699999999999998E-2</v>
      </c>
      <c r="W22">
        <v>3.04E-2</v>
      </c>
      <c r="X22">
        <v>1.2800000000000001E-2</v>
      </c>
      <c r="Y22">
        <v>2.8500000000000001E-2</v>
      </c>
      <c r="Z22">
        <v>1.0500000000000001E-2</v>
      </c>
      <c r="AA22">
        <v>0.10639999999999999</v>
      </c>
      <c r="AB22">
        <v>5.1800000000000013E-2</v>
      </c>
      <c r="AC22">
        <v>2.1100000000000001E-2</v>
      </c>
      <c r="AD22">
        <v>0.2248</v>
      </c>
      <c r="AE22">
        <v>0.55049999999999999</v>
      </c>
      <c r="AF22">
        <v>0.55230000000000001</v>
      </c>
    </row>
    <row r="23" spans="1:32" x14ac:dyDescent="0.25">
      <c r="A23" t="s">
        <v>57</v>
      </c>
      <c r="B23" t="s">
        <v>37</v>
      </c>
      <c r="C23" t="s">
        <v>31</v>
      </c>
      <c r="D23" t="s">
        <v>33</v>
      </c>
      <c r="E23">
        <v>93.78</v>
      </c>
      <c r="F23">
        <v>98.17</v>
      </c>
      <c r="G23">
        <v>89.9</v>
      </c>
      <c r="H23">
        <v>99.38</v>
      </c>
      <c r="I23">
        <v>98.17</v>
      </c>
      <c r="J23">
        <v>96.54</v>
      </c>
      <c r="K23">
        <v>1.63</v>
      </c>
      <c r="L23">
        <v>57.39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U23">
        <v>2.5399999999999999E-2</v>
      </c>
      <c r="V23">
        <v>5.4000000000000003E-3</v>
      </c>
      <c r="W23">
        <v>6.13E-2</v>
      </c>
      <c r="X23">
        <v>1.8E-3</v>
      </c>
      <c r="Y23">
        <v>4.8999999999999998E-3</v>
      </c>
      <c r="Z23">
        <v>2.87E-2</v>
      </c>
      <c r="AA23">
        <v>9.2100000000000001E-2</v>
      </c>
      <c r="AB23">
        <v>3.5400000000000001E-2</v>
      </c>
      <c r="AC23">
        <v>6.1999999999999998E-3</v>
      </c>
      <c r="AD23">
        <v>0.19869999999999999</v>
      </c>
      <c r="AE23">
        <v>0.81030000000000002</v>
      </c>
      <c r="AF23">
        <v>0.80220000000000002</v>
      </c>
    </row>
    <row r="25" spans="1:32" x14ac:dyDescent="0.25">
      <c r="I25">
        <f>SUM(I2:I23)/COUNTA(I2:I23)</f>
        <v>95.154285714285734</v>
      </c>
      <c r="J25">
        <f t="shared" ref="J25:AF25" si="0">SUM(J2:J23)/COUNTA(J2:J23)</f>
        <v>94.058571428571412</v>
      </c>
      <c r="K25">
        <f t="shared" si="0"/>
        <v>1.0957142857142856</v>
      </c>
      <c r="L25">
        <f t="shared" si="0"/>
        <v>26.267142857142851</v>
      </c>
      <c r="M25" t="e">
        <f t="shared" si="0"/>
        <v>#DIV/0!</v>
      </c>
      <c r="N25">
        <f t="shared" si="0"/>
        <v>0.14285714285714285</v>
      </c>
      <c r="O25">
        <f t="shared" si="0"/>
        <v>1</v>
      </c>
      <c r="P25">
        <f t="shared" si="0"/>
        <v>1</v>
      </c>
      <c r="Q25">
        <f t="shared" si="0"/>
        <v>0.90476190476190477</v>
      </c>
      <c r="R25">
        <f t="shared" si="0"/>
        <v>0.95238095238095233</v>
      </c>
      <c r="S25">
        <f t="shared" si="0"/>
        <v>1</v>
      </c>
      <c r="T25" t="e">
        <f t="shared" si="0"/>
        <v>#DIV/0!</v>
      </c>
      <c r="U25">
        <f t="shared" si="0"/>
        <v>7.2700000000000015E-2</v>
      </c>
      <c r="V25">
        <f t="shared" si="0"/>
        <v>3.7366666666666666E-2</v>
      </c>
      <c r="W25">
        <f t="shared" si="0"/>
        <v>5.7333333333333319E-2</v>
      </c>
      <c r="X25">
        <f t="shared" si="0"/>
        <v>1.8209523809523811E-2</v>
      </c>
      <c r="Y25">
        <f t="shared" si="0"/>
        <v>1.1242857142857141E-2</v>
      </c>
      <c r="Z25">
        <f t="shared" si="0"/>
        <v>2.3566666666666663E-2</v>
      </c>
      <c r="AA25">
        <f t="shared" si="0"/>
        <v>0.16739999999999999</v>
      </c>
      <c r="AB25">
        <f t="shared" si="0"/>
        <v>5.3019047619047618E-2</v>
      </c>
      <c r="AC25">
        <f t="shared" si="0"/>
        <v>1.835238095238095E-2</v>
      </c>
      <c r="AD25">
        <f t="shared" si="0"/>
        <v>0.22744285714285714</v>
      </c>
      <c r="AE25">
        <f t="shared" si="0"/>
        <v>0.6482095238095239</v>
      </c>
      <c r="AF25">
        <f t="shared" si="0"/>
        <v>0.65220476190476195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31</v>
      </c>
      <c r="C2" t="s">
        <v>37</v>
      </c>
      <c r="D2" t="s">
        <v>33</v>
      </c>
      <c r="E2">
        <v>99.88</v>
      </c>
      <c r="F2">
        <v>99.85</v>
      </c>
      <c r="G2">
        <v>99.95</v>
      </c>
      <c r="H2">
        <v>100</v>
      </c>
      <c r="I2">
        <v>99.95</v>
      </c>
      <c r="J2">
        <v>99.99</v>
      </c>
      <c r="K2">
        <v>-0.04</v>
      </c>
      <c r="L2">
        <v>-400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>
        <v>1E-3</v>
      </c>
      <c r="V2">
        <v>1.1999999999999999E-3</v>
      </c>
      <c r="W2">
        <v>5.0000000000000001E-4</v>
      </c>
      <c r="X2">
        <v>2.9999999999999997E-4</v>
      </c>
      <c r="Y2">
        <v>0</v>
      </c>
      <c r="Z2">
        <v>0</v>
      </c>
      <c r="AA2">
        <v>2.7000000000000001E-3</v>
      </c>
      <c r="AB2">
        <v>2.9999999999999997E-4</v>
      </c>
      <c r="AC2">
        <v>0</v>
      </c>
      <c r="AD2">
        <v>0.75</v>
      </c>
      <c r="AE2">
        <v>1</v>
      </c>
      <c r="AF2">
        <v>1</v>
      </c>
    </row>
    <row r="3" spans="1:32" x14ac:dyDescent="0.25">
      <c r="A3" t="s">
        <v>34</v>
      </c>
      <c r="B3" t="s">
        <v>35</v>
      </c>
      <c r="C3" t="s">
        <v>33</v>
      </c>
      <c r="D3" t="s">
        <v>37</v>
      </c>
      <c r="E3">
        <v>99.91</v>
      </c>
      <c r="F3">
        <v>95.84</v>
      </c>
      <c r="G3">
        <v>99.81</v>
      </c>
      <c r="H3">
        <v>99.99</v>
      </c>
      <c r="I3">
        <v>99.91</v>
      </c>
      <c r="J3">
        <v>99.929999999999993</v>
      </c>
      <c r="K3">
        <v>-0.02</v>
      </c>
      <c r="L3">
        <v>-33.33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4.0000000000000002E-4</v>
      </c>
      <c r="V3">
        <v>4.07E-2</v>
      </c>
      <c r="W3">
        <v>1.1000000000000001E-3</v>
      </c>
      <c r="X3">
        <v>2.0000000000000001E-4</v>
      </c>
      <c r="Y3">
        <v>5.0000000000000001E-4</v>
      </c>
      <c r="Z3">
        <v>1E-4</v>
      </c>
      <c r="AA3">
        <v>4.2199999999999988E-2</v>
      </c>
      <c r="AB3">
        <v>8.0000000000000004E-4</v>
      </c>
      <c r="AC3">
        <v>1E-4</v>
      </c>
      <c r="AD3">
        <v>0.3846</v>
      </c>
      <c r="AE3">
        <v>0.61539999999999995</v>
      </c>
      <c r="AF3">
        <v>0.625</v>
      </c>
    </row>
    <row r="4" spans="1:32" x14ac:dyDescent="0.25">
      <c r="A4" t="s">
        <v>36</v>
      </c>
      <c r="B4" t="s">
        <v>32</v>
      </c>
      <c r="C4" t="s">
        <v>33</v>
      </c>
      <c r="D4" t="s">
        <v>37</v>
      </c>
      <c r="E4">
        <v>99.25</v>
      </c>
      <c r="F4">
        <v>90.98</v>
      </c>
      <c r="G4">
        <v>99.92</v>
      </c>
      <c r="H4">
        <v>99.97</v>
      </c>
      <c r="I4">
        <v>99.92</v>
      </c>
      <c r="J4">
        <v>99.6</v>
      </c>
      <c r="K4">
        <v>0.32</v>
      </c>
      <c r="L4">
        <v>86.49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U4">
        <v>2.8E-3</v>
      </c>
      <c r="V4">
        <v>8.5300000000000001E-2</v>
      </c>
      <c r="W4">
        <v>0</v>
      </c>
      <c r="X4">
        <v>4.4000000000000003E-3</v>
      </c>
      <c r="Y4">
        <v>4.0000000000000002E-4</v>
      </c>
      <c r="Z4">
        <v>0</v>
      </c>
      <c r="AA4">
        <v>8.8099999999999998E-2</v>
      </c>
      <c r="AB4">
        <v>4.7999999999999996E-3</v>
      </c>
      <c r="AC4">
        <v>2.9999999999999997E-4</v>
      </c>
      <c r="AD4">
        <v>0.2286</v>
      </c>
      <c r="AE4">
        <v>0.9143</v>
      </c>
      <c r="AF4">
        <v>0.90739999999999998</v>
      </c>
    </row>
    <row r="5" spans="1:32" x14ac:dyDescent="0.25">
      <c r="A5" t="s">
        <v>38</v>
      </c>
      <c r="B5" t="s">
        <v>33</v>
      </c>
      <c r="C5" t="s">
        <v>35</v>
      </c>
      <c r="D5" t="s">
        <v>32</v>
      </c>
      <c r="E5">
        <v>98.09</v>
      </c>
      <c r="F5">
        <v>99.57</v>
      </c>
      <c r="G5">
        <v>99.26</v>
      </c>
      <c r="H5">
        <v>99.98</v>
      </c>
      <c r="I5">
        <v>99.570000000000007</v>
      </c>
      <c r="J5">
        <v>99.74</v>
      </c>
      <c r="K5">
        <v>-0.17</v>
      </c>
      <c r="L5">
        <v>-70.83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1.5900000000000001E-2</v>
      </c>
      <c r="V5">
        <v>3.5000000000000001E-3</v>
      </c>
      <c r="W5">
        <v>4.4999999999999997E-3</v>
      </c>
      <c r="X5">
        <v>5.0000000000000001E-4</v>
      </c>
      <c r="Y5">
        <v>1E-4</v>
      </c>
      <c r="Z5">
        <v>2.5000000000000001E-3</v>
      </c>
      <c r="AA5">
        <v>2.3900000000000001E-2</v>
      </c>
      <c r="AB5">
        <v>3.0999999999999999E-3</v>
      </c>
      <c r="AC5">
        <v>2.0000000000000001E-4</v>
      </c>
      <c r="AD5">
        <v>0.23910000000000001</v>
      </c>
      <c r="AE5">
        <v>0.80430000000000001</v>
      </c>
      <c r="AF5">
        <v>0.8</v>
      </c>
    </row>
    <row r="6" spans="1:32" x14ac:dyDescent="0.25">
      <c r="A6" t="s">
        <v>39</v>
      </c>
      <c r="B6" t="s">
        <v>35</v>
      </c>
      <c r="C6" t="s">
        <v>32</v>
      </c>
      <c r="D6" t="s">
        <v>37</v>
      </c>
      <c r="E6">
        <v>99.87</v>
      </c>
      <c r="F6">
        <v>99.17</v>
      </c>
      <c r="G6">
        <v>99.72</v>
      </c>
      <c r="H6">
        <v>99.99</v>
      </c>
      <c r="I6">
        <v>99.87</v>
      </c>
      <c r="J6">
        <v>99.929999999999993</v>
      </c>
      <c r="K6">
        <v>-0.06</v>
      </c>
      <c r="L6">
        <v>-100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1E-3</v>
      </c>
      <c r="V6">
        <v>7.7000000000000002E-3</v>
      </c>
      <c r="W6">
        <v>2.2000000000000001E-3</v>
      </c>
      <c r="X6">
        <v>1E-4</v>
      </c>
      <c r="Y6">
        <v>4.0000000000000002E-4</v>
      </c>
      <c r="Z6">
        <v>1E-4</v>
      </c>
      <c r="AA6">
        <v>1.09E-2</v>
      </c>
      <c r="AB6">
        <v>6.0000000000000006E-4</v>
      </c>
      <c r="AC6">
        <v>1E-4</v>
      </c>
      <c r="AD6">
        <v>0.1</v>
      </c>
      <c r="AE6">
        <v>0.6</v>
      </c>
      <c r="AF6">
        <v>0.55559999999999998</v>
      </c>
    </row>
    <row r="7" spans="1:32" x14ac:dyDescent="0.25">
      <c r="A7" t="s">
        <v>40</v>
      </c>
      <c r="B7" t="s">
        <v>37</v>
      </c>
      <c r="C7" t="s">
        <v>33</v>
      </c>
      <c r="D7" t="s">
        <v>35</v>
      </c>
      <c r="E7">
        <v>99.14</v>
      </c>
      <c r="F7">
        <v>75.16</v>
      </c>
      <c r="G7">
        <v>98.85</v>
      </c>
      <c r="H7">
        <v>99.9</v>
      </c>
      <c r="I7">
        <v>99.14</v>
      </c>
      <c r="J7">
        <v>98.91</v>
      </c>
      <c r="K7">
        <v>0.23</v>
      </c>
      <c r="L7">
        <v>23.23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U7">
        <v>2.3999999999999998E-3</v>
      </c>
      <c r="V7">
        <v>0.2356</v>
      </c>
      <c r="W7">
        <v>4.0000000000000001E-3</v>
      </c>
      <c r="X7">
        <v>5.1000000000000004E-3</v>
      </c>
      <c r="Y7">
        <v>6.4999999999999997E-3</v>
      </c>
      <c r="Z7">
        <v>1E-4</v>
      </c>
      <c r="AA7">
        <v>0.24199999999999999</v>
      </c>
      <c r="AB7">
        <v>1.17E-2</v>
      </c>
      <c r="AC7">
        <v>1E-3</v>
      </c>
      <c r="AD7">
        <v>0.15790000000000001</v>
      </c>
      <c r="AE7">
        <v>0.55559999999999998</v>
      </c>
      <c r="AF7">
        <v>0.54859999999999998</v>
      </c>
    </row>
    <row r="8" spans="1:32" x14ac:dyDescent="0.25">
      <c r="A8" t="s">
        <v>41</v>
      </c>
      <c r="B8" t="s">
        <v>32</v>
      </c>
      <c r="C8" t="s">
        <v>31</v>
      </c>
      <c r="D8" t="s">
        <v>37</v>
      </c>
      <c r="E8">
        <v>99.28</v>
      </c>
      <c r="F8">
        <v>99.28</v>
      </c>
      <c r="G8">
        <v>99.8</v>
      </c>
      <c r="H8">
        <v>99.98</v>
      </c>
      <c r="I8">
        <v>99.8</v>
      </c>
      <c r="J8">
        <v>99.89</v>
      </c>
      <c r="K8">
        <v>-0.09</v>
      </c>
      <c r="L8">
        <v>-100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6.1000000000000004E-3</v>
      </c>
      <c r="V8">
        <v>6.3E-3</v>
      </c>
      <c r="W8">
        <v>1.4E-3</v>
      </c>
      <c r="X8">
        <v>6.9999999999999999E-4</v>
      </c>
      <c r="Y8">
        <v>1E-4</v>
      </c>
      <c r="Z8">
        <v>2.9999999999999997E-4</v>
      </c>
      <c r="AA8">
        <v>1.38E-2</v>
      </c>
      <c r="AB8">
        <v>1.1000000000000001E-3</v>
      </c>
      <c r="AC8">
        <v>2.0000000000000001E-4</v>
      </c>
      <c r="AD8">
        <v>0.1333</v>
      </c>
      <c r="AE8">
        <v>0.66669999999999996</v>
      </c>
      <c r="AF8">
        <v>0.61539999999999995</v>
      </c>
    </row>
    <row r="9" spans="1:32" x14ac:dyDescent="0.25">
      <c r="A9" t="s">
        <v>42</v>
      </c>
      <c r="B9" t="s">
        <v>32</v>
      </c>
      <c r="C9" t="s">
        <v>33</v>
      </c>
      <c r="D9" t="s">
        <v>35</v>
      </c>
      <c r="E9">
        <v>90.98</v>
      </c>
      <c r="F9">
        <v>97.98</v>
      </c>
      <c r="G9">
        <v>99.88</v>
      </c>
      <c r="H9">
        <v>99.92</v>
      </c>
      <c r="I9">
        <v>99.88</v>
      </c>
      <c r="J9">
        <v>99.18</v>
      </c>
      <c r="K9">
        <v>0.7</v>
      </c>
      <c r="L9">
        <v>94.59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0.08</v>
      </c>
      <c r="V9">
        <v>0.01</v>
      </c>
      <c r="W9">
        <v>1E-4</v>
      </c>
      <c r="X9">
        <v>9.2999999999999992E-3</v>
      </c>
      <c r="Y9">
        <v>1E-4</v>
      </c>
      <c r="Z9">
        <v>2.0000000000000001E-4</v>
      </c>
      <c r="AA9">
        <v>9.01E-2</v>
      </c>
      <c r="AB9">
        <v>9.5999999999999992E-3</v>
      </c>
      <c r="AC9">
        <v>8.0000000000000004E-4</v>
      </c>
      <c r="AD9">
        <v>0.22700000000000001</v>
      </c>
      <c r="AE9">
        <v>0.96450000000000002</v>
      </c>
      <c r="AF9">
        <v>0.96330000000000005</v>
      </c>
    </row>
    <row r="10" spans="1:32" x14ac:dyDescent="0.25">
      <c r="A10" t="s">
        <v>43</v>
      </c>
      <c r="B10" t="s">
        <v>32</v>
      </c>
      <c r="C10" t="s">
        <v>35</v>
      </c>
      <c r="D10" t="s">
        <v>31</v>
      </c>
      <c r="E10">
        <v>98.91</v>
      </c>
      <c r="F10">
        <v>94.14</v>
      </c>
      <c r="G10">
        <v>94.62</v>
      </c>
      <c r="H10">
        <v>99.79</v>
      </c>
      <c r="I10">
        <v>98.91</v>
      </c>
      <c r="J10">
        <v>97.330000000000013</v>
      </c>
      <c r="K10">
        <v>1.58</v>
      </c>
      <c r="L10">
        <v>64.23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U10">
        <v>6.1000000000000004E-3</v>
      </c>
      <c r="V10">
        <v>3.2099999999999997E-2</v>
      </c>
      <c r="W10">
        <v>2.69E-2</v>
      </c>
      <c r="X10">
        <v>1.1999999999999999E-3</v>
      </c>
      <c r="Y10">
        <v>2.3300000000000001E-2</v>
      </c>
      <c r="Z10">
        <v>1.6000000000000001E-3</v>
      </c>
      <c r="AA10">
        <v>6.5099999999999991E-2</v>
      </c>
      <c r="AB10">
        <v>2.6100000000000002E-2</v>
      </c>
      <c r="AC10">
        <v>2.0999999999999999E-3</v>
      </c>
      <c r="AD10">
        <v>5.2499999999999998E-2</v>
      </c>
      <c r="AE10">
        <v>0.89500000000000002</v>
      </c>
      <c r="AF10">
        <v>0.90580000000000005</v>
      </c>
    </row>
    <row r="11" spans="1:32" x14ac:dyDescent="0.25">
      <c r="A11" t="s">
        <v>44</v>
      </c>
      <c r="B11" t="s">
        <v>37</v>
      </c>
      <c r="C11" t="s">
        <v>31</v>
      </c>
      <c r="D11" t="s">
        <v>35</v>
      </c>
      <c r="E11">
        <v>99.31</v>
      </c>
      <c r="F11">
        <v>99.12</v>
      </c>
      <c r="G11">
        <v>99.16</v>
      </c>
      <c r="H11">
        <v>99.960000000000008</v>
      </c>
      <c r="I11">
        <v>99.31</v>
      </c>
      <c r="J11">
        <v>99.75</v>
      </c>
      <c r="K11">
        <v>-0.44</v>
      </c>
      <c r="L11">
        <v>-209.52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5.1999999999999998E-3</v>
      </c>
      <c r="V11">
        <v>5.8999999999999999E-3</v>
      </c>
      <c r="W11">
        <v>6.3E-3</v>
      </c>
      <c r="X11">
        <v>1E-3</v>
      </c>
      <c r="Y11">
        <v>1.4E-3</v>
      </c>
      <c r="Z11">
        <v>2.9999999999999997E-4</v>
      </c>
      <c r="AA11">
        <v>1.7399999999999999E-2</v>
      </c>
      <c r="AB11">
        <v>2.7000000000000001E-3</v>
      </c>
      <c r="AC11">
        <v>4.0000000000000002E-4</v>
      </c>
      <c r="AD11">
        <v>0.25</v>
      </c>
      <c r="AE11">
        <v>0.52500000000000002</v>
      </c>
      <c r="AF11">
        <v>0.5333</v>
      </c>
    </row>
    <row r="12" spans="1:32" x14ac:dyDescent="0.25">
      <c r="A12" t="s">
        <v>45</v>
      </c>
      <c r="B12" t="s">
        <v>37</v>
      </c>
      <c r="C12" t="s">
        <v>33</v>
      </c>
      <c r="D12" t="s">
        <v>32</v>
      </c>
      <c r="E12">
        <v>98.38</v>
      </c>
      <c r="F12">
        <v>98.62</v>
      </c>
      <c r="G12">
        <v>92.54</v>
      </c>
      <c r="H12">
        <v>99.53</v>
      </c>
      <c r="I12">
        <v>98.61999999999999</v>
      </c>
      <c r="J12">
        <v>98.6</v>
      </c>
      <c r="K12">
        <v>0.02</v>
      </c>
      <c r="L12">
        <v>2.15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U12">
        <v>3.8E-3</v>
      </c>
      <c r="V12">
        <v>2.8999999999999998E-3</v>
      </c>
      <c r="W12">
        <v>6.0900000000000003E-2</v>
      </c>
      <c r="X12">
        <v>2.5000000000000001E-3</v>
      </c>
      <c r="Y12">
        <v>3.8E-3</v>
      </c>
      <c r="Z12">
        <v>5.1999999999999998E-3</v>
      </c>
      <c r="AA12">
        <v>6.7600000000000007E-2</v>
      </c>
      <c r="AB12">
        <v>1.15E-2</v>
      </c>
      <c r="AC12">
        <v>4.7000000000000002E-3</v>
      </c>
      <c r="AD12">
        <v>0.18559999999999999</v>
      </c>
      <c r="AE12">
        <v>0.4551</v>
      </c>
      <c r="AF12">
        <v>0.43380000000000002</v>
      </c>
    </row>
    <row r="14" spans="1:32" x14ac:dyDescent="0.25">
      <c r="A14" t="s">
        <v>48</v>
      </c>
      <c r="B14" t="s">
        <v>31</v>
      </c>
      <c r="C14" t="s">
        <v>32</v>
      </c>
      <c r="D14" t="s">
        <v>37</v>
      </c>
      <c r="E14">
        <v>99.64</v>
      </c>
      <c r="F14">
        <v>98.58</v>
      </c>
      <c r="G14">
        <v>99.85</v>
      </c>
      <c r="H14">
        <v>100</v>
      </c>
      <c r="I14">
        <v>99.850000000000009</v>
      </c>
      <c r="J14">
        <v>99.88</v>
      </c>
      <c r="K14">
        <v>-0.03</v>
      </c>
      <c r="L14">
        <v>-25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U14">
        <v>2.5000000000000001E-3</v>
      </c>
      <c r="V14">
        <v>1.29E-2</v>
      </c>
      <c r="W14">
        <v>8.0000000000000004E-4</v>
      </c>
      <c r="X14">
        <v>8.9999999999999998E-4</v>
      </c>
      <c r="Y14">
        <v>5.0000000000000001E-4</v>
      </c>
      <c r="Z14">
        <v>2.0000000000000001E-4</v>
      </c>
      <c r="AA14">
        <v>1.6199999999999999E-2</v>
      </c>
      <c r="AB14">
        <v>1.6000000000000001E-3</v>
      </c>
      <c r="AC14">
        <v>0</v>
      </c>
      <c r="AD14">
        <v>0.26090000000000002</v>
      </c>
      <c r="AE14">
        <v>0.56520000000000004</v>
      </c>
      <c r="AF14">
        <v>0.58819999999999995</v>
      </c>
    </row>
    <row r="15" spans="1:32" x14ac:dyDescent="0.25">
      <c r="A15" t="s">
        <v>49</v>
      </c>
      <c r="B15" t="s">
        <v>33</v>
      </c>
      <c r="C15" t="s">
        <v>37</v>
      </c>
      <c r="D15" t="s">
        <v>31</v>
      </c>
      <c r="E15">
        <v>90.98</v>
      </c>
      <c r="F15">
        <v>99.85</v>
      </c>
      <c r="G15">
        <v>99.88</v>
      </c>
      <c r="H15">
        <v>99.99</v>
      </c>
      <c r="I15">
        <v>99.88</v>
      </c>
      <c r="J15">
        <v>99.94</v>
      </c>
      <c r="K15">
        <v>-0.06</v>
      </c>
      <c r="L15">
        <v>-120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U15">
        <v>8.9099999999999999E-2</v>
      </c>
      <c r="V15">
        <v>2.9999999999999997E-4</v>
      </c>
      <c r="W15">
        <v>5.9999999999999995E-4</v>
      </c>
      <c r="X15">
        <v>8.9999999999999998E-4</v>
      </c>
      <c r="Y15">
        <v>1E-4</v>
      </c>
      <c r="Z15">
        <v>2.9999999999999997E-4</v>
      </c>
      <c r="AA15">
        <v>0.09</v>
      </c>
      <c r="AB15">
        <v>1.2999999999999999E-3</v>
      </c>
      <c r="AC15">
        <v>1E-4</v>
      </c>
      <c r="AD15">
        <v>0.65</v>
      </c>
      <c r="AE15">
        <v>0.65</v>
      </c>
      <c r="AF15">
        <v>0.71430000000000005</v>
      </c>
    </row>
    <row r="16" spans="1:32" x14ac:dyDescent="0.25">
      <c r="A16" t="s">
        <v>50</v>
      </c>
      <c r="B16" t="s">
        <v>37</v>
      </c>
      <c r="C16" t="s">
        <v>32</v>
      </c>
      <c r="D16" t="s">
        <v>35</v>
      </c>
      <c r="E16">
        <v>99.96</v>
      </c>
      <c r="F16">
        <v>98.58</v>
      </c>
      <c r="G16">
        <v>99.69</v>
      </c>
      <c r="H16">
        <v>99.99</v>
      </c>
      <c r="I16">
        <v>99.960000000000008</v>
      </c>
      <c r="J16">
        <v>99.929999999999993</v>
      </c>
      <c r="K16">
        <v>0.03</v>
      </c>
      <c r="L16">
        <v>50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U16">
        <v>1E-4</v>
      </c>
      <c r="V16">
        <v>1.3299999999999999E-2</v>
      </c>
      <c r="W16">
        <v>2.5000000000000001E-3</v>
      </c>
      <c r="X16">
        <v>2.0000000000000001E-4</v>
      </c>
      <c r="Y16">
        <v>5.9999999999999995E-4</v>
      </c>
      <c r="Z16">
        <v>0</v>
      </c>
      <c r="AA16">
        <v>1.5900000000000001E-2</v>
      </c>
      <c r="AB16">
        <v>7.9999999999999993E-4</v>
      </c>
      <c r="AC16">
        <v>1E-4</v>
      </c>
      <c r="AD16">
        <v>0.25</v>
      </c>
      <c r="AE16">
        <v>0.75</v>
      </c>
      <c r="AF16">
        <v>0.77780000000000005</v>
      </c>
    </row>
    <row r="17" spans="1:32" x14ac:dyDescent="0.25">
      <c r="A17" t="s">
        <v>51</v>
      </c>
      <c r="B17" t="s">
        <v>33</v>
      </c>
      <c r="C17" t="s">
        <v>37</v>
      </c>
      <c r="D17" t="s">
        <v>35</v>
      </c>
      <c r="E17">
        <v>97.63</v>
      </c>
      <c r="F17">
        <v>99.85</v>
      </c>
      <c r="G17">
        <v>99.69</v>
      </c>
      <c r="H17">
        <v>99.99</v>
      </c>
      <c r="I17">
        <v>99.850000000000009</v>
      </c>
      <c r="J17">
        <v>99.88</v>
      </c>
      <c r="K17">
        <v>-0.03</v>
      </c>
      <c r="L17">
        <v>-27.27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U17">
        <v>2.23E-2</v>
      </c>
      <c r="V17">
        <v>8.0000000000000004E-4</v>
      </c>
      <c r="W17">
        <v>2.0999999999999999E-3</v>
      </c>
      <c r="X17">
        <v>5.0000000000000001E-4</v>
      </c>
      <c r="Y17">
        <v>1E-4</v>
      </c>
      <c r="Z17">
        <v>8.0000000000000004E-4</v>
      </c>
      <c r="AA17">
        <v>2.52E-2</v>
      </c>
      <c r="AB17">
        <v>1.4E-3</v>
      </c>
      <c r="AC17">
        <v>1E-4</v>
      </c>
      <c r="AD17">
        <v>0.2</v>
      </c>
      <c r="AE17">
        <v>0.55000000000000004</v>
      </c>
      <c r="AF17">
        <v>0.625</v>
      </c>
    </row>
    <row r="18" spans="1:32" x14ac:dyDescent="0.25">
      <c r="A18" t="s">
        <v>52</v>
      </c>
      <c r="B18" t="s">
        <v>37</v>
      </c>
      <c r="C18" t="s">
        <v>33</v>
      </c>
      <c r="D18" t="s">
        <v>32</v>
      </c>
      <c r="E18">
        <v>99.14</v>
      </c>
      <c r="F18">
        <v>99.95</v>
      </c>
      <c r="G18">
        <v>98.58</v>
      </c>
      <c r="H18">
        <v>100</v>
      </c>
      <c r="I18">
        <v>99.95</v>
      </c>
      <c r="J18">
        <v>99.83</v>
      </c>
      <c r="K18">
        <v>0.12</v>
      </c>
      <c r="L18">
        <v>70.59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U18">
        <v>6.7000000000000002E-3</v>
      </c>
      <c r="V18">
        <v>2.0000000000000001E-4</v>
      </c>
      <c r="W18">
        <v>1.26E-2</v>
      </c>
      <c r="X18">
        <v>2.9999999999999997E-4</v>
      </c>
      <c r="Y18">
        <v>0</v>
      </c>
      <c r="Z18">
        <v>1.6000000000000001E-3</v>
      </c>
      <c r="AA18">
        <v>1.95E-2</v>
      </c>
      <c r="AB18">
        <v>1.9E-3</v>
      </c>
      <c r="AC18">
        <v>0</v>
      </c>
      <c r="AD18">
        <v>0.1071</v>
      </c>
      <c r="AE18">
        <v>0.82140000000000002</v>
      </c>
      <c r="AF18">
        <v>0.84</v>
      </c>
    </row>
    <row r="19" spans="1:32" x14ac:dyDescent="0.25">
      <c r="A19" t="s">
        <v>53</v>
      </c>
      <c r="B19" t="s">
        <v>33</v>
      </c>
      <c r="C19" t="s">
        <v>37</v>
      </c>
      <c r="D19" t="s">
        <v>35</v>
      </c>
      <c r="E19">
        <v>93.27</v>
      </c>
      <c r="F19">
        <v>99.85</v>
      </c>
      <c r="G19">
        <v>99.69</v>
      </c>
      <c r="H19">
        <v>99.97</v>
      </c>
      <c r="I19">
        <v>99.850000000000009</v>
      </c>
      <c r="J19">
        <v>99.81</v>
      </c>
      <c r="K19">
        <v>0.04</v>
      </c>
      <c r="L19">
        <v>25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6.4899999999999999E-2</v>
      </c>
      <c r="V19">
        <v>6.9999999999999999E-4</v>
      </c>
      <c r="W19">
        <v>1.2999999999999999E-3</v>
      </c>
      <c r="X19">
        <v>5.0000000000000001E-4</v>
      </c>
      <c r="Y19">
        <v>0</v>
      </c>
      <c r="Z19">
        <v>1.6000000000000001E-3</v>
      </c>
      <c r="AA19">
        <v>6.6900000000000001E-2</v>
      </c>
      <c r="AB19">
        <v>2.0999999999999999E-3</v>
      </c>
      <c r="AC19">
        <v>2.9999999999999997E-4</v>
      </c>
      <c r="AD19">
        <v>0.2258</v>
      </c>
      <c r="AE19">
        <v>0.7419</v>
      </c>
      <c r="AF19">
        <v>0.79169999999999996</v>
      </c>
    </row>
    <row r="20" spans="1:32" x14ac:dyDescent="0.25">
      <c r="A20" t="s">
        <v>54</v>
      </c>
      <c r="B20" t="s">
        <v>33</v>
      </c>
      <c r="C20" t="s">
        <v>31</v>
      </c>
      <c r="D20" t="s">
        <v>37</v>
      </c>
      <c r="E20">
        <v>97.98</v>
      </c>
      <c r="F20">
        <v>99.88</v>
      </c>
      <c r="G20">
        <v>99.85</v>
      </c>
      <c r="H20">
        <v>99.99</v>
      </c>
      <c r="I20">
        <v>99.88</v>
      </c>
      <c r="J20">
        <v>99.92</v>
      </c>
      <c r="K20">
        <v>-0.04</v>
      </c>
      <c r="L20">
        <v>-57.14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U20">
        <v>1.9099999999999999E-2</v>
      </c>
      <c r="V20">
        <v>5.9999999999999995E-4</v>
      </c>
      <c r="W20">
        <v>6.9999999999999999E-4</v>
      </c>
      <c r="X20">
        <v>2.9999999999999997E-4</v>
      </c>
      <c r="Y20">
        <v>1E-4</v>
      </c>
      <c r="Z20">
        <v>5.0000000000000001E-4</v>
      </c>
      <c r="AA20">
        <v>2.0400000000000001E-2</v>
      </c>
      <c r="AB20">
        <v>8.9999999999999998E-4</v>
      </c>
      <c r="AC20">
        <v>1E-4</v>
      </c>
      <c r="AD20">
        <v>0.33329999999999999</v>
      </c>
      <c r="AE20">
        <v>0.5333</v>
      </c>
      <c r="AF20">
        <v>0.5</v>
      </c>
    </row>
    <row r="21" spans="1:32" x14ac:dyDescent="0.25">
      <c r="A21" t="s">
        <v>55</v>
      </c>
      <c r="B21" t="s">
        <v>35</v>
      </c>
      <c r="C21" t="s">
        <v>37</v>
      </c>
      <c r="D21" t="s">
        <v>32</v>
      </c>
      <c r="E21">
        <v>94.14</v>
      </c>
      <c r="F21">
        <v>99.85</v>
      </c>
      <c r="G21">
        <v>98.58</v>
      </c>
      <c r="H21">
        <v>99.99</v>
      </c>
      <c r="I21">
        <v>99.850000000000009</v>
      </c>
      <c r="J21">
        <v>99.72</v>
      </c>
      <c r="K21">
        <v>0.13</v>
      </c>
      <c r="L21">
        <v>48.15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5.5599999999999997E-2</v>
      </c>
      <c r="V21">
        <v>8.9999999999999998E-4</v>
      </c>
      <c r="W21">
        <v>1.11E-2</v>
      </c>
      <c r="X21">
        <v>1E-4</v>
      </c>
      <c r="Y21">
        <v>2.9999999999999997E-4</v>
      </c>
      <c r="Z21">
        <v>2.7000000000000001E-3</v>
      </c>
      <c r="AA21">
        <v>6.7599999999999993E-2</v>
      </c>
      <c r="AB21">
        <v>3.0999999999999999E-3</v>
      </c>
      <c r="AC21">
        <v>1E-4</v>
      </c>
      <c r="AD21">
        <v>0.1522</v>
      </c>
      <c r="AE21">
        <v>0.8478</v>
      </c>
      <c r="AF21">
        <v>0.87180000000000002</v>
      </c>
    </row>
    <row r="22" spans="1:32" x14ac:dyDescent="0.25">
      <c r="A22" t="s">
        <v>56</v>
      </c>
      <c r="B22" t="s">
        <v>32</v>
      </c>
      <c r="C22" t="s">
        <v>35</v>
      </c>
      <c r="D22" t="s">
        <v>37</v>
      </c>
      <c r="E22">
        <v>97.83</v>
      </c>
      <c r="F22">
        <v>99.69</v>
      </c>
      <c r="G22">
        <v>99.85</v>
      </c>
      <c r="H22">
        <v>99.99</v>
      </c>
      <c r="I22">
        <v>99.850000000000009</v>
      </c>
      <c r="J22">
        <v>99.88</v>
      </c>
      <c r="K22">
        <v>-0.03</v>
      </c>
      <c r="L22">
        <v>-27.27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2.0199999999999999E-2</v>
      </c>
      <c r="V22">
        <v>2E-3</v>
      </c>
      <c r="W22">
        <v>8.0000000000000004E-4</v>
      </c>
      <c r="X22">
        <v>8.9999999999999998E-4</v>
      </c>
      <c r="Y22">
        <v>1E-4</v>
      </c>
      <c r="Z22">
        <v>5.0000000000000001E-4</v>
      </c>
      <c r="AA22">
        <v>2.3E-2</v>
      </c>
      <c r="AB22">
        <v>1.5E-3</v>
      </c>
      <c r="AC22">
        <v>1E-4</v>
      </c>
      <c r="AD22">
        <v>0.2727</v>
      </c>
      <c r="AE22">
        <v>0.59089999999999998</v>
      </c>
      <c r="AF22">
        <v>0.625</v>
      </c>
    </row>
    <row r="23" spans="1:32" x14ac:dyDescent="0.25">
      <c r="A23" t="s">
        <v>57</v>
      </c>
      <c r="B23" t="s">
        <v>31</v>
      </c>
      <c r="C23" t="s">
        <v>33</v>
      </c>
      <c r="D23" t="s">
        <v>35</v>
      </c>
      <c r="E23">
        <v>97.47</v>
      </c>
      <c r="F23">
        <v>99.95</v>
      </c>
      <c r="G23">
        <v>99.69</v>
      </c>
      <c r="H23">
        <v>100</v>
      </c>
      <c r="I23">
        <v>99.95</v>
      </c>
      <c r="J23">
        <v>99.960000000000008</v>
      </c>
      <c r="K23">
        <v>-0.01</v>
      </c>
      <c r="L23">
        <v>-25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2.47E-2</v>
      </c>
      <c r="V23">
        <v>4.0000000000000002E-4</v>
      </c>
      <c r="W23">
        <v>2.7000000000000001E-3</v>
      </c>
      <c r="X23">
        <v>1E-4</v>
      </c>
      <c r="Y23">
        <v>0</v>
      </c>
      <c r="Z23">
        <v>5.0000000000000001E-4</v>
      </c>
      <c r="AA23">
        <v>2.7799999999999998E-2</v>
      </c>
      <c r="AB23">
        <v>6.0000000000000006E-4</v>
      </c>
      <c r="AC23">
        <v>0</v>
      </c>
      <c r="AD23">
        <v>0.33329999999999999</v>
      </c>
      <c r="AE23">
        <v>0.77780000000000005</v>
      </c>
      <c r="AF23">
        <v>0.83330000000000004</v>
      </c>
    </row>
    <row r="25" spans="1:32" x14ac:dyDescent="0.25">
      <c r="I25">
        <f>SUM(I2:I23)/COUNTA(I2:I23)</f>
        <v>99.702380952380906</v>
      </c>
      <c r="J25">
        <f t="shared" ref="J25:AF25" si="0">SUM(J2:J23)/COUNTA(J2:J23)</f>
        <v>99.6</v>
      </c>
      <c r="K25">
        <f t="shared" si="0"/>
        <v>0.10238095238095242</v>
      </c>
      <c r="L25">
        <f t="shared" si="0"/>
        <v>-34.806190476190466</v>
      </c>
      <c r="M25" t="e">
        <f t="shared" si="0"/>
        <v>#DIV/0!</v>
      </c>
      <c r="N25">
        <f t="shared" si="0"/>
        <v>0.5714285714285714</v>
      </c>
      <c r="O25">
        <f t="shared" si="0"/>
        <v>1</v>
      </c>
      <c r="P25">
        <f t="shared" si="0"/>
        <v>1</v>
      </c>
      <c r="Q25">
        <f t="shared" si="0"/>
        <v>0.95238095238095233</v>
      </c>
      <c r="R25">
        <f t="shared" si="0"/>
        <v>1</v>
      </c>
      <c r="S25">
        <f t="shared" si="0"/>
        <v>1</v>
      </c>
      <c r="T25" t="e">
        <f t="shared" si="0"/>
        <v>#DIV/0!</v>
      </c>
      <c r="U25">
        <f t="shared" si="0"/>
        <v>2.0471428571428568E-2</v>
      </c>
      <c r="V25">
        <f t="shared" si="0"/>
        <v>2.2061904761904765E-2</v>
      </c>
      <c r="W25">
        <f t="shared" si="0"/>
        <v>6.8142857142857146E-3</v>
      </c>
      <c r="X25">
        <f t="shared" si="0"/>
        <v>1.4285714285714288E-3</v>
      </c>
      <c r="Y25">
        <f t="shared" si="0"/>
        <v>1.828571428571429E-3</v>
      </c>
      <c r="Z25">
        <f t="shared" si="0"/>
        <v>9.0952380952380961E-4</v>
      </c>
      <c r="AA25">
        <f t="shared" si="0"/>
        <v>4.9347619047619036E-2</v>
      </c>
      <c r="AB25">
        <f t="shared" si="0"/>
        <v>4.1666666666666675E-3</v>
      </c>
      <c r="AC25">
        <f t="shared" si="0"/>
        <v>5.1428571428571419E-4</v>
      </c>
      <c r="AD25">
        <f t="shared" si="0"/>
        <v>0.26161428571428574</v>
      </c>
      <c r="AE25">
        <f t="shared" si="0"/>
        <v>0.70591428571428572</v>
      </c>
      <c r="AF25">
        <f t="shared" si="0"/>
        <v>0.71691904761904757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31</v>
      </c>
      <c r="D2" t="s">
        <v>32</v>
      </c>
      <c r="E2">
        <v>98.94</v>
      </c>
      <c r="F2">
        <v>99.95</v>
      </c>
      <c r="G2">
        <v>96.59</v>
      </c>
      <c r="H2">
        <v>99.98</v>
      </c>
      <c r="I2">
        <v>99.95</v>
      </c>
      <c r="J2">
        <v>99.51</v>
      </c>
      <c r="K2">
        <v>0.44</v>
      </c>
      <c r="L2">
        <v>93.62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U2">
        <v>4.7000000000000002E-3</v>
      </c>
      <c r="V2">
        <v>2.0000000000000001E-4</v>
      </c>
      <c r="W2">
        <v>2.8199999999999999E-2</v>
      </c>
      <c r="X2">
        <v>0</v>
      </c>
      <c r="Y2">
        <v>0</v>
      </c>
      <c r="Z2">
        <v>5.5999999999999999E-3</v>
      </c>
      <c r="AA2">
        <v>3.3099999999999997E-2</v>
      </c>
      <c r="AB2">
        <v>5.5999999999999999E-3</v>
      </c>
      <c r="AC2">
        <v>2.0000000000000001E-4</v>
      </c>
      <c r="AD2">
        <v>0.16669999999999999</v>
      </c>
      <c r="AE2">
        <v>1</v>
      </c>
      <c r="AF2">
        <v>1</v>
      </c>
    </row>
    <row r="3" spans="1:32" x14ac:dyDescent="0.25">
      <c r="A3" t="s">
        <v>34</v>
      </c>
      <c r="B3" t="s">
        <v>33</v>
      </c>
      <c r="C3" t="s">
        <v>31</v>
      </c>
      <c r="D3" t="s">
        <v>37</v>
      </c>
      <c r="E3">
        <v>97.2</v>
      </c>
      <c r="F3">
        <v>98.71</v>
      </c>
      <c r="G3">
        <v>99.34</v>
      </c>
      <c r="H3">
        <v>99.929999999999993</v>
      </c>
      <c r="I3">
        <v>99.339999999999989</v>
      </c>
      <c r="J3">
        <v>99.65</v>
      </c>
      <c r="K3">
        <v>-0.31</v>
      </c>
      <c r="L3">
        <v>-110.71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U3">
        <v>2.3099999999999999E-2</v>
      </c>
      <c r="V3">
        <v>1.01E-2</v>
      </c>
      <c r="W3">
        <v>3.5000000000000001E-3</v>
      </c>
      <c r="X3">
        <v>2.0999999999999999E-3</v>
      </c>
      <c r="Y3">
        <v>0</v>
      </c>
      <c r="Z3">
        <v>2.3999999999999998E-3</v>
      </c>
      <c r="AA3">
        <v>3.6700000000000003E-2</v>
      </c>
      <c r="AB3">
        <v>4.4999999999999997E-3</v>
      </c>
      <c r="AC3">
        <v>6.9999999999999999E-4</v>
      </c>
      <c r="AD3">
        <v>0.36840000000000001</v>
      </c>
      <c r="AE3">
        <v>0.47370000000000001</v>
      </c>
      <c r="AF3">
        <v>0.5</v>
      </c>
    </row>
    <row r="4" spans="1:32" x14ac:dyDescent="0.25">
      <c r="A4" t="s">
        <v>36</v>
      </c>
      <c r="B4" t="s">
        <v>31</v>
      </c>
      <c r="C4" t="s">
        <v>37</v>
      </c>
      <c r="D4" t="s">
        <v>35</v>
      </c>
      <c r="E4">
        <v>95.98</v>
      </c>
      <c r="F4">
        <v>98.19</v>
      </c>
      <c r="G4">
        <v>99.72</v>
      </c>
      <c r="H4">
        <v>99.98</v>
      </c>
      <c r="I4">
        <v>99.72</v>
      </c>
      <c r="J4">
        <v>99.86</v>
      </c>
      <c r="K4">
        <v>-0.14000000000000001</v>
      </c>
      <c r="L4">
        <v>-116.67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3.8800000000000001E-2</v>
      </c>
      <c r="V4">
        <v>1.6500000000000001E-2</v>
      </c>
      <c r="W4">
        <v>1.9E-3</v>
      </c>
      <c r="X4">
        <v>8.9999999999999998E-4</v>
      </c>
      <c r="Y4">
        <v>5.0000000000000001E-4</v>
      </c>
      <c r="Z4">
        <v>2.0000000000000001E-4</v>
      </c>
      <c r="AA4">
        <v>5.7200000000000001E-2</v>
      </c>
      <c r="AB4">
        <v>1.6000000000000001E-3</v>
      </c>
      <c r="AC4">
        <v>2.0000000000000001E-4</v>
      </c>
      <c r="AD4">
        <v>0.28570000000000001</v>
      </c>
      <c r="AE4">
        <v>0.57140000000000002</v>
      </c>
      <c r="AF4">
        <v>0.6</v>
      </c>
    </row>
    <row r="5" spans="1:32" x14ac:dyDescent="0.25">
      <c r="A5" t="s">
        <v>38</v>
      </c>
      <c r="B5" t="s">
        <v>33</v>
      </c>
      <c r="C5" t="s">
        <v>32</v>
      </c>
      <c r="D5" t="s">
        <v>35</v>
      </c>
      <c r="E5">
        <v>97.65</v>
      </c>
      <c r="F5">
        <v>97.32</v>
      </c>
      <c r="G5">
        <v>99.84</v>
      </c>
      <c r="H5">
        <v>99.95</v>
      </c>
      <c r="I5">
        <v>99.839999999999989</v>
      </c>
      <c r="J5">
        <v>98.92</v>
      </c>
      <c r="K5">
        <v>0.92</v>
      </c>
      <c r="L5">
        <v>89.32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U5">
        <v>1.15E-2</v>
      </c>
      <c r="V5">
        <v>1.46E-2</v>
      </c>
      <c r="W5">
        <v>5.0000000000000001E-4</v>
      </c>
      <c r="X5">
        <v>1.1299999999999999E-2</v>
      </c>
      <c r="Y5">
        <v>5.0000000000000001E-4</v>
      </c>
      <c r="Z5">
        <v>2.0000000000000001E-4</v>
      </c>
      <c r="AA5">
        <v>2.6599999999999999E-2</v>
      </c>
      <c r="AB5">
        <v>1.2E-2</v>
      </c>
      <c r="AC5">
        <v>5.0000000000000001E-4</v>
      </c>
      <c r="AD5">
        <v>0.13730000000000001</v>
      </c>
      <c r="AE5">
        <v>0.94120000000000004</v>
      </c>
      <c r="AF5">
        <v>0.95450000000000002</v>
      </c>
    </row>
    <row r="6" spans="1:32" x14ac:dyDescent="0.25">
      <c r="A6" t="s">
        <v>39</v>
      </c>
      <c r="B6" t="s">
        <v>37</v>
      </c>
      <c r="C6" t="s">
        <v>33</v>
      </c>
      <c r="D6" t="s">
        <v>31</v>
      </c>
      <c r="E6">
        <v>99.22</v>
      </c>
      <c r="F6">
        <v>98.42</v>
      </c>
      <c r="G6">
        <v>99.22</v>
      </c>
      <c r="H6">
        <v>99.95</v>
      </c>
      <c r="I6">
        <v>99.22</v>
      </c>
      <c r="J6">
        <v>99.79</v>
      </c>
      <c r="K6">
        <v>-0.56999999999999995</v>
      </c>
      <c r="L6">
        <v>-356.25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4.8999999999999998E-3</v>
      </c>
      <c r="V6">
        <v>1.2699999999999999E-2</v>
      </c>
      <c r="W6">
        <v>6.6E-3</v>
      </c>
      <c r="X6">
        <v>2.0999999999999999E-3</v>
      </c>
      <c r="Y6">
        <v>5.0000000000000001E-4</v>
      </c>
      <c r="Z6">
        <v>2.0000000000000001E-4</v>
      </c>
      <c r="AA6">
        <v>2.4199999999999999E-2</v>
      </c>
      <c r="AB6">
        <v>2.8E-3</v>
      </c>
      <c r="AC6">
        <v>5.0000000000000001E-4</v>
      </c>
      <c r="AD6">
        <v>0.41670000000000001</v>
      </c>
      <c r="AE6">
        <v>0.75</v>
      </c>
      <c r="AF6">
        <v>0.85709999999999997</v>
      </c>
    </row>
    <row r="7" spans="1:32" x14ac:dyDescent="0.25">
      <c r="A7" t="s">
        <v>40</v>
      </c>
      <c r="B7" t="s">
        <v>37</v>
      </c>
      <c r="C7" t="s">
        <v>32</v>
      </c>
      <c r="D7" t="s">
        <v>35</v>
      </c>
      <c r="E7">
        <v>97.86</v>
      </c>
      <c r="F7">
        <v>55.010000000000012</v>
      </c>
      <c r="G7">
        <v>98.56</v>
      </c>
      <c r="H7">
        <v>99.48</v>
      </c>
      <c r="I7">
        <v>98.56</v>
      </c>
      <c r="J7">
        <v>98.09</v>
      </c>
      <c r="K7">
        <v>0.47</v>
      </c>
      <c r="L7">
        <v>33.81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U7">
        <v>0</v>
      </c>
      <c r="V7">
        <v>0.42120000000000002</v>
      </c>
      <c r="W7">
        <v>1.4E-3</v>
      </c>
      <c r="X7">
        <v>1.6E-2</v>
      </c>
      <c r="Y7">
        <v>7.4999999999999997E-3</v>
      </c>
      <c r="Z7">
        <v>2.0000000000000001E-4</v>
      </c>
      <c r="AA7">
        <v>0.42259999999999998</v>
      </c>
      <c r="AB7">
        <v>2.3699999999999999E-2</v>
      </c>
      <c r="AC7">
        <v>5.1999999999999998E-3</v>
      </c>
      <c r="AD7">
        <v>0.4158</v>
      </c>
      <c r="AE7">
        <v>0.67330000000000001</v>
      </c>
      <c r="AF7">
        <v>0.69489999999999996</v>
      </c>
    </row>
    <row r="8" spans="1:32" x14ac:dyDescent="0.25">
      <c r="A8" t="s">
        <v>41</v>
      </c>
      <c r="B8" t="s">
        <v>37</v>
      </c>
      <c r="C8" t="s">
        <v>31</v>
      </c>
      <c r="D8" t="s">
        <v>32</v>
      </c>
      <c r="E8">
        <v>99.06</v>
      </c>
      <c r="F8">
        <v>98.45</v>
      </c>
      <c r="G8">
        <v>96.47</v>
      </c>
      <c r="H8">
        <v>99.98</v>
      </c>
      <c r="I8">
        <v>99.06</v>
      </c>
      <c r="J8">
        <v>99.65</v>
      </c>
      <c r="K8">
        <v>-0.59</v>
      </c>
      <c r="L8">
        <v>-178.79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5.4000000000000003E-3</v>
      </c>
      <c r="V8">
        <v>1.41E-2</v>
      </c>
      <c r="W8">
        <v>3.15E-2</v>
      </c>
      <c r="X8">
        <v>6.9999999999999999E-4</v>
      </c>
      <c r="Y8">
        <v>5.0000000000000001E-4</v>
      </c>
      <c r="Z8">
        <v>3.0999999999999999E-3</v>
      </c>
      <c r="AA8">
        <v>5.0999999999999997E-2</v>
      </c>
      <c r="AB8">
        <v>4.3E-3</v>
      </c>
      <c r="AC8">
        <v>2.0000000000000001E-4</v>
      </c>
      <c r="AD8">
        <v>0.22220000000000001</v>
      </c>
      <c r="AE8">
        <v>0.1111</v>
      </c>
      <c r="AF8">
        <v>0</v>
      </c>
    </row>
    <row r="9" spans="1:32" x14ac:dyDescent="0.25">
      <c r="A9" t="s">
        <v>42</v>
      </c>
      <c r="B9" t="s">
        <v>37</v>
      </c>
      <c r="C9" t="s">
        <v>32</v>
      </c>
      <c r="D9" t="s">
        <v>31</v>
      </c>
      <c r="E9">
        <v>98.21</v>
      </c>
      <c r="F9">
        <v>67.69</v>
      </c>
      <c r="G9">
        <v>98.68</v>
      </c>
      <c r="H9">
        <v>99.839999999999989</v>
      </c>
      <c r="I9">
        <v>98.68</v>
      </c>
      <c r="J9">
        <v>98.52</v>
      </c>
      <c r="K9">
        <v>0.16</v>
      </c>
      <c r="L9">
        <v>12.12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4.0000000000000001E-3</v>
      </c>
      <c r="V9">
        <v>0.30349999999999999</v>
      </c>
      <c r="W9">
        <v>5.8999999999999999E-3</v>
      </c>
      <c r="X9">
        <v>1.2200000000000001E-2</v>
      </c>
      <c r="Y9">
        <v>5.5999999999999999E-3</v>
      </c>
      <c r="Z9">
        <v>0</v>
      </c>
      <c r="AA9">
        <v>0.31340000000000001</v>
      </c>
      <c r="AB9">
        <v>1.78E-2</v>
      </c>
      <c r="AC9">
        <v>1.6000000000000001E-3</v>
      </c>
      <c r="AD9">
        <v>0.26319999999999999</v>
      </c>
      <c r="AE9">
        <v>0.68420000000000003</v>
      </c>
      <c r="AF9">
        <v>0.625</v>
      </c>
    </row>
    <row r="10" spans="1:32" x14ac:dyDescent="0.25">
      <c r="A10" t="s">
        <v>43</v>
      </c>
      <c r="B10" t="s">
        <v>35</v>
      </c>
      <c r="C10" t="s">
        <v>32</v>
      </c>
      <c r="D10" t="s">
        <v>37</v>
      </c>
      <c r="E10">
        <v>98.82</v>
      </c>
      <c r="F10">
        <v>97.08</v>
      </c>
      <c r="G10">
        <v>94.56</v>
      </c>
      <c r="H10">
        <v>99.76</v>
      </c>
      <c r="I10">
        <v>98.82</v>
      </c>
      <c r="J10">
        <v>98.89</v>
      </c>
      <c r="K10">
        <v>-7.0000000000000007E-2</v>
      </c>
      <c r="L10">
        <v>-8.0500000000000007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6.7999999999999996E-3</v>
      </c>
      <c r="V10">
        <v>1.9300000000000001E-2</v>
      </c>
      <c r="W10">
        <v>4.2799999999999998E-2</v>
      </c>
      <c r="X10">
        <v>5.0000000000000001E-4</v>
      </c>
      <c r="Y10">
        <v>7.1000000000000004E-3</v>
      </c>
      <c r="Z10">
        <v>2.0999999999999999E-3</v>
      </c>
      <c r="AA10">
        <v>6.8900000000000003E-2</v>
      </c>
      <c r="AB10">
        <v>9.7000000000000003E-3</v>
      </c>
      <c r="AC10">
        <v>2.3999999999999998E-3</v>
      </c>
      <c r="AD10">
        <v>9.7600000000000006E-2</v>
      </c>
      <c r="AE10">
        <v>0.73170000000000002</v>
      </c>
      <c r="AF10">
        <v>0.75680000000000003</v>
      </c>
    </row>
    <row r="11" spans="1:32" x14ac:dyDescent="0.25">
      <c r="A11" t="s">
        <v>44</v>
      </c>
      <c r="B11" t="s">
        <v>37</v>
      </c>
      <c r="C11" t="s">
        <v>35</v>
      </c>
      <c r="D11" t="s">
        <v>32</v>
      </c>
      <c r="E11">
        <v>96.96</v>
      </c>
      <c r="F11">
        <v>99.34</v>
      </c>
      <c r="G11">
        <v>90.16</v>
      </c>
      <c r="H11">
        <v>99.53</v>
      </c>
      <c r="I11">
        <v>99.32</v>
      </c>
      <c r="J11">
        <v>98.56</v>
      </c>
      <c r="K11">
        <v>0.76</v>
      </c>
      <c r="L11">
        <v>78.349999999999994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U11">
        <v>1.15E-2</v>
      </c>
      <c r="V11">
        <v>5.0000000000000001E-4</v>
      </c>
      <c r="W11">
        <v>7.8799999999999995E-2</v>
      </c>
      <c r="X11">
        <v>5.0000000000000001E-4</v>
      </c>
      <c r="Y11">
        <v>1.1999999999999999E-3</v>
      </c>
      <c r="Z11">
        <v>1.3599999999999999E-2</v>
      </c>
      <c r="AA11">
        <v>9.0799999999999992E-2</v>
      </c>
      <c r="AB11">
        <v>1.5299999999999999E-2</v>
      </c>
      <c r="AC11">
        <v>4.7000000000000002E-3</v>
      </c>
      <c r="AD11">
        <v>0.36919999999999997</v>
      </c>
      <c r="AE11">
        <v>0.89229999999999998</v>
      </c>
      <c r="AF11">
        <v>0.878</v>
      </c>
    </row>
    <row r="12" spans="1:32" x14ac:dyDescent="0.25">
      <c r="A12" t="s">
        <v>45</v>
      </c>
      <c r="B12" t="s">
        <v>37</v>
      </c>
      <c r="C12" t="s">
        <v>31</v>
      </c>
      <c r="D12" t="s">
        <v>33</v>
      </c>
      <c r="E12">
        <v>98.92</v>
      </c>
      <c r="F12">
        <v>99.93</v>
      </c>
      <c r="G12">
        <v>99.86</v>
      </c>
      <c r="H12">
        <v>99.98</v>
      </c>
      <c r="I12">
        <v>99.929999999999993</v>
      </c>
      <c r="J12">
        <v>99.95</v>
      </c>
      <c r="K12">
        <v>-0.02</v>
      </c>
      <c r="L12">
        <v>-66.67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U12">
        <v>1.01E-2</v>
      </c>
      <c r="V12">
        <v>5.0000000000000001E-4</v>
      </c>
      <c r="W12">
        <v>6.9999999999999999E-4</v>
      </c>
      <c r="X12">
        <v>0</v>
      </c>
      <c r="Y12">
        <v>0</v>
      </c>
      <c r="Z12">
        <v>5.0000000000000001E-4</v>
      </c>
      <c r="AA12">
        <v>1.1299999999999999E-2</v>
      </c>
      <c r="AB12">
        <v>5.0000000000000001E-4</v>
      </c>
      <c r="AC12">
        <v>2.0000000000000001E-4</v>
      </c>
      <c r="AD12">
        <v>0.5</v>
      </c>
      <c r="AE12">
        <v>1</v>
      </c>
      <c r="AF12">
        <v>1</v>
      </c>
    </row>
    <row r="14" spans="1:32" x14ac:dyDescent="0.25">
      <c r="A14" t="s">
        <v>48</v>
      </c>
      <c r="B14" t="s">
        <v>32</v>
      </c>
      <c r="C14" t="s">
        <v>31</v>
      </c>
      <c r="D14" t="s">
        <v>33</v>
      </c>
      <c r="E14">
        <v>96.02</v>
      </c>
      <c r="F14">
        <v>99.95</v>
      </c>
      <c r="G14">
        <v>99.88</v>
      </c>
      <c r="H14">
        <v>99.98</v>
      </c>
      <c r="I14">
        <v>99.95</v>
      </c>
      <c r="J14">
        <v>99.88</v>
      </c>
      <c r="K14">
        <v>7.0000000000000007E-2</v>
      </c>
      <c r="L14">
        <v>70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3.8600000000000002E-2</v>
      </c>
      <c r="V14">
        <v>0</v>
      </c>
      <c r="W14">
        <v>2.0000000000000001E-4</v>
      </c>
      <c r="X14">
        <v>2.0000000000000001E-4</v>
      </c>
      <c r="Y14">
        <v>0</v>
      </c>
      <c r="Z14">
        <v>6.9999999999999999E-4</v>
      </c>
      <c r="AA14">
        <v>3.8800000000000001E-2</v>
      </c>
      <c r="AB14">
        <v>8.9999999999999998E-4</v>
      </c>
      <c r="AC14">
        <v>2.0000000000000001E-4</v>
      </c>
      <c r="AD14">
        <v>0</v>
      </c>
      <c r="AE14">
        <v>0.75</v>
      </c>
      <c r="AF14">
        <v>0.75</v>
      </c>
    </row>
    <row r="15" spans="1:32" x14ac:dyDescent="0.25">
      <c r="A15" t="s">
        <v>49</v>
      </c>
      <c r="B15" t="s">
        <v>32</v>
      </c>
      <c r="C15" t="s">
        <v>35</v>
      </c>
      <c r="D15" t="s">
        <v>31</v>
      </c>
      <c r="E15">
        <v>96.89</v>
      </c>
      <c r="F15">
        <v>99.67</v>
      </c>
      <c r="G15">
        <v>99.95</v>
      </c>
      <c r="H15">
        <v>99.98</v>
      </c>
      <c r="I15">
        <v>99.95</v>
      </c>
      <c r="J15">
        <v>99.79</v>
      </c>
      <c r="K15">
        <v>0.16</v>
      </c>
      <c r="L15">
        <v>84.21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U15">
        <v>2.8899999999999999E-2</v>
      </c>
      <c r="V15">
        <v>1.4E-3</v>
      </c>
      <c r="W15">
        <v>0</v>
      </c>
      <c r="X15">
        <v>1.6000000000000001E-3</v>
      </c>
      <c r="Y15">
        <v>0</v>
      </c>
      <c r="Z15">
        <v>2.0000000000000001E-4</v>
      </c>
      <c r="AA15">
        <v>3.0300000000000001E-2</v>
      </c>
      <c r="AB15">
        <v>1.8E-3</v>
      </c>
      <c r="AC15">
        <v>2.0000000000000001E-4</v>
      </c>
      <c r="AD15">
        <v>0</v>
      </c>
      <c r="AE15">
        <v>0.875</v>
      </c>
      <c r="AF15">
        <v>0.875</v>
      </c>
    </row>
    <row r="16" spans="1:32" x14ac:dyDescent="0.25">
      <c r="A16" t="s">
        <v>50</v>
      </c>
      <c r="B16" t="s">
        <v>32</v>
      </c>
      <c r="C16" t="s">
        <v>33</v>
      </c>
      <c r="D16" t="s">
        <v>37</v>
      </c>
      <c r="E16">
        <v>97.32</v>
      </c>
      <c r="F16">
        <v>99.88</v>
      </c>
      <c r="G16">
        <v>98.94</v>
      </c>
      <c r="H16">
        <v>99.95</v>
      </c>
      <c r="I16">
        <v>99.88</v>
      </c>
      <c r="J16">
        <v>99.41</v>
      </c>
      <c r="K16">
        <v>0.47</v>
      </c>
      <c r="L16">
        <v>87.04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U16">
        <v>2.0899999999999998E-2</v>
      </c>
      <c r="V16">
        <v>2.0000000000000001E-4</v>
      </c>
      <c r="W16">
        <v>5.1999999999999998E-3</v>
      </c>
      <c r="X16">
        <v>5.0000000000000001E-4</v>
      </c>
      <c r="Y16">
        <v>0</v>
      </c>
      <c r="Z16">
        <v>4.8999999999999998E-3</v>
      </c>
      <c r="AA16">
        <v>2.63E-2</v>
      </c>
      <c r="AB16">
        <v>5.4000000000000003E-3</v>
      </c>
      <c r="AC16">
        <v>5.0000000000000001E-4</v>
      </c>
      <c r="AD16">
        <v>0</v>
      </c>
      <c r="AE16">
        <v>0.91300000000000003</v>
      </c>
      <c r="AF16">
        <v>0.91300000000000003</v>
      </c>
    </row>
    <row r="17" spans="1:32" x14ac:dyDescent="0.25">
      <c r="A17" t="s">
        <v>51</v>
      </c>
      <c r="B17" t="s">
        <v>37</v>
      </c>
      <c r="C17" t="s">
        <v>35</v>
      </c>
      <c r="D17" t="s">
        <v>32</v>
      </c>
      <c r="E17">
        <v>99.22</v>
      </c>
      <c r="F17">
        <v>99.67</v>
      </c>
      <c r="G17">
        <v>96.59</v>
      </c>
      <c r="H17">
        <v>99.91</v>
      </c>
      <c r="I17">
        <v>99.67</v>
      </c>
      <c r="J17">
        <v>99.62</v>
      </c>
      <c r="K17">
        <v>0.05</v>
      </c>
      <c r="L17">
        <v>17.239999999999998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U17">
        <v>4.1999999999999997E-3</v>
      </c>
      <c r="V17">
        <v>1.1999999999999999E-3</v>
      </c>
      <c r="W17">
        <v>2.9399999999999999E-2</v>
      </c>
      <c r="X17">
        <v>0</v>
      </c>
      <c r="Y17">
        <v>1.1999999999999999E-3</v>
      </c>
      <c r="Z17">
        <v>2.5999999999999999E-3</v>
      </c>
      <c r="AA17">
        <v>3.4799999999999998E-2</v>
      </c>
      <c r="AB17">
        <v>3.8E-3</v>
      </c>
      <c r="AC17">
        <v>8.9999999999999998E-4</v>
      </c>
      <c r="AD17">
        <v>0.25</v>
      </c>
      <c r="AE17">
        <v>0.6875</v>
      </c>
      <c r="AF17">
        <v>0.66669999999999996</v>
      </c>
    </row>
    <row r="18" spans="1:32" x14ac:dyDescent="0.25">
      <c r="A18" t="s">
        <v>52</v>
      </c>
      <c r="B18" t="s">
        <v>32</v>
      </c>
      <c r="C18" t="s">
        <v>37</v>
      </c>
      <c r="D18" t="s">
        <v>31</v>
      </c>
      <c r="E18">
        <v>55.010000000000012</v>
      </c>
      <c r="F18">
        <v>98.94</v>
      </c>
      <c r="G18">
        <v>99.95</v>
      </c>
      <c r="H18">
        <v>99.98</v>
      </c>
      <c r="I18">
        <v>99.95</v>
      </c>
      <c r="J18">
        <v>99.41</v>
      </c>
      <c r="K18">
        <v>0.54</v>
      </c>
      <c r="L18">
        <v>94.74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U18">
        <v>0.4395</v>
      </c>
      <c r="V18">
        <v>5.0000000000000001E-4</v>
      </c>
      <c r="W18">
        <v>0</v>
      </c>
      <c r="X18">
        <v>9.9000000000000008E-3</v>
      </c>
      <c r="Y18">
        <v>0</v>
      </c>
      <c r="Z18">
        <v>2.0000000000000001E-4</v>
      </c>
      <c r="AA18">
        <v>0.44</v>
      </c>
      <c r="AB18">
        <v>1.01E-2</v>
      </c>
      <c r="AC18">
        <v>2.0000000000000001E-4</v>
      </c>
      <c r="AD18">
        <v>0.44190000000000002</v>
      </c>
      <c r="AE18">
        <v>0.97670000000000001</v>
      </c>
      <c r="AF18">
        <v>0.95830000000000004</v>
      </c>
    </row>
    <row r="19" spans="1:32" x14ac:dyDescent="0.25">
      <c r="A19" t="s">
        <v>53</v>
      </c>
      <c r="B19" t="s">
        <v>33</v>
      </c>
      <c r="C19" t="s">
        <v>37</v>
      </c>
      <c r="D19" t="s">
        <v>32</v>
      </c>
      <c r="E19">
        <v>97.65</v>
      </c>
      <c r="F19">
        <v>98.94</v>
      </c>
      <c r="G19">
        <v>96.59</v>
      </c>
      <c r="H19">
        <v>99.76</v>
      </c>
      <c r="I19">
        <v>98.94</v>
      </c>
      <c r="J19">
        <v>99.039999999999992</v>
      </c>
      <c r="K19">
        <v>-0.1</v>
      </c>
      <c r="L19">
        <v>-13.89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U19">
        <v>1.55E-2</v>
      </c>
      <c r="V19">
        <v>4.1999999999999997E-3</v>
      </c>
      <c r="W19">
        <v>2.3099999999999999E-2</v>
      </c>
      <c r="X19">
        <v>5.0000000000000001E-4</v>
      </c>
      <c r="Y19">
        <v>3.5000000000000001E-3</v>
      </c>
      <c r="Z19">
        <v>5.1999999999999998E-3</v>
      </c>
      <c r="AA19">
        <v>4.2799999999999998E-2</v>
      </c>
      <c r="AB19">
        <v>9.1999999999999998E-3</v>
      </c>
      <c r="AC19">
        <v>2.3999999999999998E-3</v>
      </c>
      <c r="AD19">
        <v>0.2051</v>
      </c>
      <c r="AE19">
        <v>0.56410000000000005</v>
      </c>
      <c r="AF19">
        <v>0.5806</v>
      </c>
    </row>
    <row r="20" spans="1:32" x14ac:dyDescent="0.25">
      <c r="A20" t="s">
        <v>54</v>
      </c>
      <c r="B20" t="s">
        <v>33</v>
      </c>
      <c r="C20" t="s">
        <v>32</v>
      </c>
      <c r="D20" t="s">
        <v>31</v>
      </c>
      <c r="E20">
        <v>98.02</v>
      </c>
      <c r="F20">
        <v>96.59</v>
      </c>
      <c r="G20">
        <v>99.95</v>
      </c>
      <c r="H20">
        <v>99.98</v>
      </c>
      <c r="I20">
        <v>99.95</v>
      </c>
      <c r="J20">
        <v>99.27</v>
      </c>
      <c r="K20">
        <v>0.68</v>
      </c>
      <c r="L20">
        <v>95.77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1.1299999999999999E-2</v>
      </c>
      <c r="V20">
        <v>2.5899999999999999E-2</v>
      </c>
      <c r="W20">
        <v>0</v>
      </c>
      <c r="X20">
        <v>8.0000000000000002E-3</v>
      </c>
      <c r="Y20">
        <v>0</v>
      </c>
      <c r="Z20">
        <v>2.0000000000000001E-4</v>
      </c>
      <c r="AA20">
        <v>3.7199999999999997E-2</v>
      </c>
      <c r="AB20">
        <v>8.2000000000000007E-3</v>
      </c>
      <c r="AC20">
        <v>2.0000000000000001E-4</v>
      </c>
      <c r="AD20">
        <v>0.1429</v>
      </c>
      <c r="AE20">
        <v>0.97140000000000004</v>
      </c>
      <c r="AF20">
        <v>1</v>
      </c>
    </row>
    <row r="21" spans="1:32" x14ac:dyDescent="0.25">
      <c r="A21" t="s">
        <v>55</v>
      </c>
      <c r="B21" t="s">
        <v>33</v>
      </c>
      <c r="C21" t="s">
        <v>31</v>
      </c>
      <c r="D21" t="s">
        <v>35</v>
      </c>
      <c r="E21">
        <v>97.55</v>
      </c>
      <c r="F21">
        <v>99.95</v>
      </c>
      <c r="G21">
        <v>99.67</v>
      </c>
      <c r="H21">
        <v>99.98</v>
      </c>
      <c r="I21">
        <v>99.95</v>
      </c>
      <c r="J21">
        <v>99.79</v>
      </c>
      <c r="K21">
        <v>0.16</v>
      </c>
      <c r="L21">
        <v>84.21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2.24E-2</v>
      </c>
      <c r="V21">
        <v>0</v>
      </c>
      <c r="W21">
        <v>1.4E-3</v>
      </c>
      <c r="X21">
        <v>2.0000000000000001E-4</v>
      </c>
      <c r="Y21">
        <v>0</v>
      </c>
      <c r="Z21">
        <v>1.6000000000000001E-3</v>
      </c>
      <c r="AA21">
        <v>2.3800000000000002E-2</v>
      </c>
      <c r="AB21">
        <v>1.8E-3</v>
      </c>
      <c r="AC21">
        <v>2.0000000000000001E-4</v>
      </c>
      <c r="AD21">
        <v>0</v>
      </c>
      <c r="AE21">
        <v>0.875</v>
      </c>
      <c r="AF21">
        <v>0.875</v>
      </c>
    </row>
    <row r="22" spans="1:32" x14ac:dyDescent="0.25">
      <c r="A22" t="s">
        <v>56</v>
      </c>
      <c r="B22" t="s">
        <v>31</v>
      </c>
      <c r="C22" t="s">
        <v>37</v>
      </c>
      <c r="D22" t="s">
        <v>32</v>
      </c>
      <c r="E22">
        <v>96.12</v>
      </c>
      <c r="F22">
        <v>98.94</v>
      </c>
      <c r="G22">
        <v>96.59</v>
      </c>
      <c r="H22">
        <v>99.839999999999989</v>
      </c>
      <c r="I22">
        <v>98.94</v>
      </c>
      <c r="J22">
        <v>99.13</v>
      </c>
      <c r="K22">
        <v>-0.19</v>
      </c>
      <c r="L22">
        <v>-26.76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3.2500000000000001E-2</v>
      </c>
      <c r="V22">
        <v>4.7000000000000002E-3</v>
      </c>
      <c r="W22">
        <v>2.35E-2</v>
      </c>
      <c r="X22">
        <v>0</v>
      </c>
      <c r="Y22">
        <v>4.1999999999999997E-3</v>
      </c>
      <c r="Z22">
        <v>4.7000000000000002E-3</v>
      </c>
      <c r="AA22">
        <v>6.0699999999999997E-2</v>
      </c>
      <c r="AB22">
        <v>8.8999999999999999E-3</v>
      </c>
      <c r="AC22">
        <v>1.6000000000000001E-3</v>
      </c>
      <c r="AD22">
        <v>0.21049999999999999</v>
      </c>
      <c r="AE22">
        <v>0.52629999999999999</v>
      </c>
      <c r="AF22">
        <v>0.5</v>
      </c>
    </row>
    <row r="23" spans="1:32" x14ac:dyDescent="0.25">
      <c r="A23" t="s">
        <v>57</v>
      </c>
      <c r="B23" t="s">
        <v>31</v>
      </c>
      <c r="C23" t="s">
        <v>33</v>
      </c>
      <c r="D23" t="s">
        <v>35</v>
      </c>
      <c r="E23">
        <v>99.93</v>
      </c>
      <c r="F23">
        <v>99.88</v>
      </c>
      <c r="G23">
        <v>99.67</v>
      </c>
      <c r="H23">
        <v>99.98</v>
      </c>
      <c r="I23">
        <v>99.929999999999993</v>
      </c>
      <c r="J23">
        <v>99.91</v>
      </c>
      <c r="K23">
        <v>0.02</v>
      </c>
      <c r="L23">
        <v>28.57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U23">
        <v>2.0000000000000001E-4</v>
      </c>
      <c r="V23">
        <v>5.0000000000000001E-4</v>
      </c>
      <c r="W23">
        <v>2.3999999999999998E-3</v>
      </c>
      <c r="X23">
        <v>0</v>
      </c>
      <c r="Y23">
        <v>5.0000000000000001E-4</v>
      </c>
      <c r="Z23">
        <v>2.0000000000000001E-4</v>
      </c>
      <c r="AA23">
        <v>3.0999999999999999E-3</v>
      </c>
      <c r="AB23">
        <v>6.9999999999999999E-4</v>
      </c>
      <c r="AC23">
        <v>2.0000000000000001E-4</v>
      </c>
      <c r="AD23">
        <v>0</v>
      </c>
      <c r="AE23">
        <v>0.66669999999999996</v>
      </c>
      <c r="AF23">
        <v>0.66669999999999996</v>
      </c>
    </row>
    <row r="25" spans="1:32" x14ac:dyDescent="0.25">
      <c r="I25">
        <f>SUM(I2:I23)/COUNTA(I2:I23)</f>
        <v>99.50238095238096</v>
      </c>
      <c r="J25">
        <f t="shared" ref="J25:AF25" si="0">SUM(J2:J23)/COUNTA(J2:J23)</f>
        <v>99.363809523809522</v>
      </c>
      <c r="K25">
        <f t="shared" si="0"/>
        <v>0.13857142857142857</v>
      </c>
      <c r="L25">
        <f t="shared" si="0"/>
        <v>-0.41857142857142043</v>
      </c>
      <c r="M25" t="e">
        <f t="shared" si="0"/>
        <v>#DIV/0!</v>
      </c>
      <c r="N25">
        <f t="shared" si="0"/>
        <v>0.38095238095238093</v>
      </c>
      <c r="O25">
        <f t="shared" si="0"/>
        <v>1</v>
      </c>
      <c r="P25">
        <f t="shared" si="0"/>
        <v>1</v>
      </c>
      <c r="Q25">
        <f t="shared" si="0"/>
        <v>0.76190476190476186</v>
      </c>
      <c r="R25">
        <f t="shared" si="0"/>
        <v>1</v>
      </c>
      <c r="S25">
        <f t="shared" si="0"/>
        <v>1</v>
      </c>
      <c r="T25" t="e">
        <f t="shared" si="0"/>
        <v>#DIV/0!</v>
      </c>
      <c r="U25">
        <f t="shared" si="0"/>
        <v>3.4990476190476183E-2</v>
      </c>
      <c r="V25">
        <f t="shared" si="0"/>
        <v>4.0561904761904743E-2</v>
      </c>
      <c r="W25">
        <f t="shared" si="0"/>
        <v>1.3666666666666671E-2</v>
      </c>
      <c r="X25">
        <f t="shared" si="0"/>
        <v>3.2000000000000006E-3</v>
      </c>
      <c r="Y25">
        <f t="shared" si="0"/>
        <v>1.5619047619047617E-3</v>
      </c>
      <c r="Z25">
        <f t="shared" si="0"/>
        <v>2.314285714285714E-3</v>
      </c>
      <c r="AA25">
        <f t="shared" si="0"/>
        <v>8.9219047619047614E-2</v>
      </c>
      <c r="AB25">
        <f t="shared" si="0"/>
        <v>7.0761904761904755E-3</v>
      </c>
      <c r="AC25">
        <f t="shared" si="0"/>
        <v>1.0952380952380949E-3</v>
      </c>
      <c r="AD25">
        <f t="shared" si="0"/>
        <v>0.21396190476190474</v>
      </c>
      <c r="AE25">
        <f t="shared" si="0"/>
        <v>0.74450476190476189</v>
      </c>
      <c r="AF25">
        <f t="shared" si="0"/>
        <v>0.74531428571428571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5"/>
  <sheetViews>
    <sheetView tabSelected="1" topLeftCell="C1" workbookViewId="0">
      <selection activeCell="AD27" sqref="AD27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32</v>
      </c>
      <c r="D2" t="s">
        <v>33</v>
      </c>
      <c r="E2">
        <v>91.5</v>
      </c>
      <c r="F2">
        <v>92.5</v>
      </c>
      <c r="G2">
        <v>85</v>
      </c>
      <c r="H2">
        <v>96.5</v>
      </c>
      <c r="I2">
        <v>91.5</v>
      </c>
      <c r="J2">
        <v>92</v>
      </c>
      <c r="K2">
        <v>-0.5</v>
      </c>
      <c r="L2">
        <v>-11.11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U2">
        <v>0.02</v>
      </c>
      <c r="V2">
        <v>1.7500000000000002E-2</v>
      </c>
      <c r="W2">
        <v>7.7499999999999999E-2</v>
      </c>
      <c r="X2">
        <v>7.4999999999999997E-3</v>
      </c>
      <c r="Y2">
        <v>1.4999999999999999E-2</v>
      </c>
      <c r="Z2">
        <v>2.2499999999999999E-2</v>
      </c>
      <c r="AA2">
        <v>0.115</v>
      </c>
      <c r="AB2">
        <v>4.4999999999999998E-2</v>
      </c>
      <c r="AC2">
        <v>3.5000000000000003E-2</v>
      </c>
      <c r="AD2">
        <v>0</v>
      </c>
      <c r="AE2">
        <v>0.33329999999999999</v>
      </c>
      <c r="AF2">
        <v>0.33329999999999999</v>
      </c>
    </row>
    <row r="3" spans="1:32" x14ac:dyDescent="0.25">
      <c r="A3" t="s">
        <v>34</v>
      </c>
      <c r="B3" t="s">
        <v>37</v>
      </c>
      <c r="C3" t="s">
        <v>33</v>
      </c>
      <c r="D3" t="s">
        <v>35</v>
      </c>
      <c r="E3">
        <v>87.25</v>
      </c>
      <c r="F3">
        <v>88.5</v>
      </c>
      <c r="G3">
        <v>94</v>
      </c>
      <c r="H3">
        <v>97.25</v>
      </c>
      <c r="I3">
        <v>94</v>
      </c>
      <c r="J3">
        <v>93.75</v>
      </c>
      <c r="K3">
        <v>0.25</v>
      </c>
      <c r="L3">
        <v>7.14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U3">
        <v>7.2499999999999995E-2</v>
      </c>
      <c r="V3">
        <v>6.25E-2</v>
      </c>
      <c r="W3">
        <v>1.4999999999999999E-2</v>
      </c>
      <c r="X3">
        <v>1.7500000000000002E-2</v>
      </c>
      <c r="Y3">
        <v>7.4999999999999997E-3</v>
      </c>
      <c r="Z3">
        <v>0.01</v>
      </c>
      <c r="AA3">
        <v>0.15</v>
      </c>
      <c r="AB3">
        <v>3.5000000000000003E-2</v>
      </c>
      <c r="AC3">
        <v>2.75E-2</v>
      </c>
      <c r="AD3">
        <v>0</v>
      </c>
      <c r="AE3">
        <v>0.5</v>
      </c>
      <c r="AF3">
        <v>0.5</v>
      </c>
    </row>
    <row r="4" spans="1:32" x14ac:dyDescent="0.25">
      <c r="A4" t="s">
        <v>36</v>
      </c>
      <c r="B4" t="s">
        <v>32</v>
      </c>
      <c r="C4" t="s">
        <v>31</v>
      </c>
      <c r="D4" t="s">
        <v>37</v>
      </c>
      <c r="E4">
        <v>86.75</v>
      </c>
      <c r="F4">
        <v>88.5</v>
      </c>
      <c r="G4">
        <v>86.75</v>
      </c>
      <c r="H4">
        <v>96</v>
      </c>
      <c r="I4">
        <v>88.75</v>
      </c>
      <c r="J4">
        <v>89.5</v>
      </c>
      <c r="K4">
        <v>-0.75</v>
      </c>
      <c r="L4">
        <v>-11.54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4.7500000000000001E-2</v>
      </c>
      <c r="V4">
        <v>2.75E-2</v>
      </c>
      <c r="W4">
        <v>5.2499999999999998E-2</v>
      </c>
      <c r="X4">
        <v>2.5000000000000001E-2</v>
      </c>
      <c r="Y4">
        <v>0.02</v>
      </c>
      <c r="Z4">
        <v>0.02</v>
      </c>
      <c r="AA4">
        <v>0.1275</v>
      </c>
      <c r="AB4">
        <v>6.5000000000000002E-2</v>
      </c>
      <c r="AC4">
        <v>0.04</v>
      </c>
      <c r="AD4">
        <v>0</v>
      </c>
      <c r="AE4">
        <v>0.30769999999999997</v>
      </c>
      <c r="AF4">
        <v>0.30769999999999997</v>
      </c>
    </row>
    <row r="5" spans="1:32" x14ac:dyDescent="0.25">
      <c r="A5" t="s">
        <v>38</v>
      </c>
      <c r="B5" t="s">
        <v>37</v>
      </c>
      <c r="C5" t="s">
        <v>33</v>
      </c>
      <c r="D5" t="s">
        <v>32</v>
      </c>
      <c r="E5">
        <v>92</v>
      </c>
      <c r="F5">
        <v>85.5</v>
      </c>
      <c r="G5">
        <v>87.75</v>
      </c>
      <c r="H5">
        <v>97.25</v>
      </c>
      <c r="I5">
        <v>92</v>
      </c>
      <c r="J5">
        <v>92.25</v>
      </c>
      <c r="K5">
        <v>-0.25</v>
      </c>
      <c r="L5">
        <v>-5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0.03</v>
      </c>
      <c r="V5">
        <v>7.4999999999999997E-2</v>
      </c>
      <c r="W5">
        <v>5.5E-2</v>
      </c>
      <c r="X5">
        <v>1.2500000000000001E-2</v>
      </c>
      <c r="Y5">
        <v>0.03</v>
      </c>
      <c r="Z5">
        <v>0.01</v>
      </c>
      <c r="AA5">
        <v>0.16</v>
      </c>
      <c r="AB5">
        <v>5.2499999999999998E-2</v>
      </c>
      <c r="AC5">
        <v>2.75E-2</v>
      </c>
      <c r="AD5">
        <v>4.7600000000000003E-2</v>
      </c>
      <c r="AE5">
        <v>0.57140000000000002</v>
      </c>
      <c r="AF5">
        <v>0.6</v>
      </c>
    </row>
    <row r="6" spans="1:32" x14ac:dyDescent="0.25">
      <c r="A6" t="s">
        <v>39</v>
      </c>
      <c r="B6" t="s">
        <v>35</v>
      </c>
      <c r="C6" t="s">
        <v>32</v>
      </c>
      <c r="D6" t="s">
        <v>37</v>
      </c>
      <c r="E6">
        <v>92.5</v>
      </c>
      <c r="F6">
        <v>95.25</v>
      </c>
      <c r="G6">
        <v>90.75</v>
      </c>
      <c r="H6">
        <v>97.5</v>
      </c>
      <c r="I6">
        <v>92.5</v>
      </c>
      <c r="J6">
        <v>95</v>
      </c>
      <c r="K6">
        <v>-2.5</v>
      </c>
      <c r="L6">
        <v>-100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U6">
        <v>3.2500000000000001E-2</v>
      </c>
      <c r="V6">
        <v>0.01</v>
      </c>
      <c r="W6">
        <v>4.7500000000000001E-2</v>
      </c>
      <c r="X6">
        <v>5.0000000000000001E-3</v>
      </c>
      <c r="Y6">
        <v>7.4999999999999997E-3</v>
      </c>
      <c r="Z6">
        <v>1.2500000000000001E-2</v>
      </c>
      <c r="AA6">
        <v>0.09</v>
      </c>
      <c r="AB6">
        <v>2.5000000000000001E-2</v>
      </c>
      <c r="AC6">
        <v>2.5000000000000001E-2</v>
      </c>
      <c r="AD6">
        <v>0</v>
      </c>
      <c r="AE6">
        <v>0.3</v>
      </c>
      <c r="AF6">
        <v>0.3</v>
      </c>
    </row>
    <row r="7" spans="1:32" x14ac:dyDescent="0.25">
      <c r="A7" t="s">
        <v>40</v>
      </c>
      <c r="B7" t="s">
        <v>35</v>
      </c>
      <c r="C7" t="s">
        <v>37</v>
      </c>
      <c r="D7" t="s">
        <v>32</v>
      </c>
      <c r="E7">
        <v>79.25</v>
      </c>
      <c r="F7">
        <v>87</v>
      </c>
      <c r="G7">
        <v>91.25</v>
      </c>
      <c r="H7">
        <v>95</v>
      </c>
      <c r="I7">
        <v>87</v>
      </c>
      <c r="J7">
        <v>89.5</v>
      </c>
      <c r="K7">
        <v>-2.5</v>
      </c>
      <c r="L7">
        <v>-45.45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U7">
        <v>0.1125</v>
      </c>
      <c r="V7">
        <v>2.75E-2</v>
      </c>
      <c r="W7">
        <v>2.5000000000000001E-2</v>
      </c>
      <c r="X7">
        <v>4.2500000000000003E-2</v>
      </c>
      <c r="Y7">
        <v>0.01</v>
      </c>
      <c r="Z7">
        <v>2.5000000000000001E-3</v>
      </c>
      <c r="AA7">
        <v>0.16500000000000001</v>
      </c>
      <c r="AB7">
        <v>5.5000000000000007E-2</v>
      </c>
      <c r="AC7">
        <v>0.05</v>
      </c>
      <c r="AD7">
        <v>0</v>
      </c>
      <c r="AE7">
        <v>4.5499999999999999E-2</v>
      </c>
      <c r="AF7">
        <v>4.5499999999999999E-2</v>
      </c>
    </row>
    <row r="8" spans="1:32" x14ac:dyDescent="0.25">
      <c r="A8" t="s">
        <v>41</v>
      </c>
      <c r="B8" t="s">
        <v>33</v>
      </c>
      <c r="C8" t="s">
        <v>32</v>
      </c>
      <c r="D8" t="s">
        <v>31</v>
      </c>
      <c r="E8">
        <v>84.5</v>
      </c>
      <c r="F8">
        <v>93.25</v>
      </c>
      <c r="G8">
        <v>97.75</v>
      </c>
      <c r="H8">
        <v>97.5</v>
      </c>
      <c r="I8">
        <v>84.5</v>
      </c>
      <c r="J8">
        <v>92.75</v>
      </c>
      <c r="K8">
        <v>-8.25</v>
      </c>
      <c r="L8">
        <v>-173.68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U8">
        <v>9.5000000000000001E-2</v>
      </c>
      <c r="V8">
        <v>0.02</v>
      </c>
      <c r="W8">
        <v>0.06</v>
      </c>
      <c r="X8">
        <v>0.01</v>
      </c>
      <c r="Y8">
        <v>1.2500000000000001E-2</v>
      </c>
      <c r="Z8">
        <v>2.5000000000000001E-2</v>
      </c>
      <c r="AA8">
        <v>0.17499999999999999</v>
      </c>
      <c r="AB8">
        <v>4.7500000000000001E-2</v>
      </c>
      <c r="AC8">
        <v>2.5000000000000001E-2</v>
      </c>
      <c r="AD8">
        <v>0</v>
      </c>
      <c r="AE8">
        <v>0.26319999999999999</v>
      </c>
      <c r="AF8">
        <v>0.26319999999999999</v>
      </c>
    </row>
    <row r="9" spans="1:32" x14ac:dyDescent="0.25">
      <c r="A9" t="s">
        <v>42</v>
      </c>
      <c r="B9" t="s">
        <v>37</v>
      </c>
      <c r="C9" t="s">
        <v>32</v>
      </c>
      <c r="D9" t="s">
        <v>33</v>
      </c>
      <c r="E9">
        <v>92.75</v>
      </c>
      <c r="F9">
        <v>87.75</v>
      </c>
      <c r="G9">
        <v>87</v>
      </c>
      <c r="H9">
        <v>96.25</v>
      </c>
      <c r="I9">
        <v>92.75</v>
      </c>
      <c r="J9">
        <v>92.25</v>
      </c>
      <c r="K9">
        <v>0.5</v>
      </c>
      <c r="L9">
        <v>12.5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0.02</v>
      </c>
      <c r="V9">
        <v>5.2499999999999998E-2</v>
      </c>
      <c r="W9">
        <v>0.06</v>
      </c>
      <c r="X9">
        <v>7.4999999999999997E-3</v>
      </c>
      <c r="Y9">
        <v>2.5000000000000001E-2</v>
      </c>
      <c r="Z9">
        <v>7.4999999999999997E-3</v>
      </c>
      <c r="AA9">
        <v>0.13250000000000001</v>
      </c>
      <c r="AB9">
        <v>0.04</v>
      </c>
      <c r="AC9">
        <v>3.7499999999999999E-2</v>
      </c>
      <c r="AD9">
        <v>0</v>
      </c>
      <c r="AE9">
        <v>0.625</v>
      </c>
      <c r="AF9">
        <v>0.625</v>
      </c>
    </row>
    <row r="10" spans="1:32" x14ac:dyDescent="0.25">
      <c r="A10" t="s">
        <v>43</v>
      </c>
      <c r="B10" t="s">
        <v>37</v>
      </c>
      <c r="C10" t="s">
        <v>31</v>
      </c>
      <c r="D10" t="s">
        <v>32</v>
      </c>
      <c r="E10">
        <v>88.5</v>
      </c>
      <c r="F10">
        <v>68.75</v>
      </c>
      <c r="G10">
        <v>87.25</v>
      </c>
      <c r="H10">
        <v>97.5</v>
      </c>
      <c r="I10">
        <v>88.5</v>
      </c>
      <c r="J10">
        <v>90.5</v>
      </c>
      <c r="K10">
        <v>-2</v>
      </c>
      <c r="L10">
        <v>-28.57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4.2500000000000003E-2</v>
      </c>
      <c r="V10">
        <v>0.23250000000000001</v>
      </c>
      <c r="W10">
        <v>0.06</v>
      </c>
      <c r="X10">
        <v>0.03</v>
      </c>
      <c r="Y10">
        <v>2.5000000000000001E-2</v>
      </c>
      <c r="Z10">
        <v>1.7500000000000002E-2</v>
      </c>
      <c r="AA10">
        <v>0.33500000000000002</v>
      </c>
      <c r="AB10">
        <v>7.2500000000000009E-2</v>
      </c>
      <c r="AC10">
        <v>2.5000000000000001E-2</v>
      </c>
      <c r="AD10">
        <v>3.4500000000000003E-2</v>
      </c>
      <c r="AE10">
        <v>0.3448</v>
      </c>
      <c r="AF10">
        <v>0.32140000000000002</v>
      </c>
    </row>
    <row r="11" spans="1:32" x14ac:dyDescent="0.25">
      <c r="A11" t="s">
        <v>44</v>
      </c>
      <c r="B11" t="s">
        <v>37</v>
      </c>
      <c r="C11" t="s">
        <v>32</v>
      </c>
      <c r="D11" t="s">
        <v>35</v>
      </c>
      <c r="E11">
        <v>86</v>
      </c>
      <c r="F11">
        <v>86.5</v>
      </c>
      <c r="G11">
        <v>88.5</v>
      </c>
      <c r="H11">
        <v>96.75</v>
      </c>
      <c r="I11">
        <v>88.5</v>
      </c>
      <c r="J11">
        <v>91</v>
      </c>
      <c r="K11">
        <v>-2.5</v>
      </c>
      <c r="L11">
        <v>-43.48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0.06</v>
      </c>
      <c r="V11">
        <v>5.7500000000000002E-2</v>
      </c>
      <c r="W11">
        <v>5.5E-2</v>
      </c>
      <c r="X11">
        <v>3.2500000000000001E-2</v>
      </c>
      <c r="Y11">
        <v>1.2500000000000001E-2</v>
      </c>
      <c r="Z11">
        <v>1.4999999999999999E-2</v>
      </c>
      <c r="AA11">
        <v>0.17249999999999999</v>
      </c>
      <c r="AB11">
        <v>0.06</v>
      </c>
      <c r="AC11">
        <v>3.2500000000000001E-2</v>
      </c>
      <c r="AD11">
        <v>4.1700000000000001E-2</v>
      </c>
      <c r="AE11">
        <v>0.54169999999999996</v>
      </c>
      <c r="AF11">
        <v>0.56520000000000004</v>
      </c>
    </row>
    <row r="12" spans="1:32" x14ac:dyDescent="0.25">
      <c r="A12" t="s">
        <v>45</v>
      </c>
      <c r="B12" t="s">
        <v>33</v>
      </c>
      <c r="C12" t="s">
        <v>35</v>
      </c>
      <c r="D12" t="s">
        <v>32</v>
      </c>
      <c r="E12">
        <v>79.75</v>
      </c>
      <c r="F12">
        <v>85.25</v>
      </c>
      <c r="G12">
        <v>88.5</v>
      </c>
      <c r="H12">
        <v>98</v>
      </c>
      <c r="I12">
        <v>87</v>
      </c>
      <c r="J12">
        <v>88.75</v>
      </c>
      <c r="K12">
        <v>-1.75</v>
      </c>
      <c r="L12">
        <v>-18.920000000000002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U12">
        <v>0.1</v>
      </c>
      <c r="V12">
        <v>5.7500000000000002E-2</v>
      </c>
      <c r="W12">
        <v>0.05</v>
      </c>
      <c r="X12">
        <v>4.7500000000000001E-2</v>
      </c>
      <c r="Y12">
        <v>5.0000000000000001E-3</v>
      </c>
      <c r="Z12">
        <v>4.4999999999999998E-2</v>
      </c>
      <c r="AA12">
        <v>0.20749999999999999</v>
      </c>
      <c r="AB12">
        <v>9.7500000000000003E-2</v>
      </c>
      <c r="AC12">
        <v>0.02</v>
      </c>
      <c r="AD12">
        <v>5.1299999999999998E-2</v>
      </c>
      <c r="AE12">
        <v>0.46150000000000002</v>
      </c>
      <c r="AF12">
        <v>0.48649999999999999</v>
      </c>
    </row>
    <row r="14" spans="1:32" x14ac:dyDescent="0.25">
      <c r="A14" t="s">
        <v>48</v>
      </c>
      <c r="B14" t="s">
        <v>37</v>
      </c>
      <c r="C14" t="s">
        <v>35</v>
      </c>
      <c r="D14" t="s">
        <v>32</v>
      </c>
      <c r="E14">
        <v>87.25</v>
      </c>
      <c r="F14">
        <v>94.75</v>
      </c>
      <c r="G14">
        <v>92.5</v>
      </c>
      <c r="H14">
        <v>98.75</v>
      </c>
      <c r="I14">
        <v>94.75</v>
      </c>
      <c r="J14">
        <v>93.25</v>
      </c>
      <c r="K14">
        <v>1.5</v>
      </c>
      <c r="L14">
        <v>27.27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6.7500000000000004E-2</v>
      </c>
      <c r="V14">
        <v>2.2499999999999999E-2</v>
      </c>
      <c r="W14">
        <v>1.2500000000000001E-2</v>
      </c>
      <c r="X14">
        <v>7.4999999999999997E-3</v>
      </c>
      <c r="Y14">
        <v>0.01</v>
      </c>
      <c r="Z14">
        <v>0.04</v>
      </c>
      <c r="AA14">
        <v>0.10249999999999999</v>
      </c>
      <c r="AB14">
        <v>5.7500000000000002E-2</v>
      </c>
      <c r="AC14">
        <v>1.2500000000000001E-2</v>
      </c>
      <c r="AD14">
        <v>4.3499999999999997E-2</v>
      </c>
      <c r="AE14">
        <v>0.69569999999999999</v>
      </c>
      <c r="AF14">
        <v>0.72729999999999995</v>
      </c>
    </row>
    <row r="15" spans="1:32" x14ac:dyDescent="0.25">
      <c r="A15" t="s">
        <v>49</v>
      </c>
      <c r="B15" t="s">
        <v>31</v>
      </c>
      <c r="C15" t="s">
        <v>35</v>
      </c>
      <c r="D15" t="s">
        <v>37</v>
      </c>
      <c r="E15">
        <v>88.5</v>
      </c>
      <c r="F15">
        <v>94.75</v>
      </c>
      <c r="G15">
        <v>91.5</v>
      </c>
      <c r="H15">
        <v>98.25</v>
      </c>
      <c r="I15">
        <v>94.75</v>
      </c>
      <c r="J15">
        <v>94.5</v>
      </c>
      <c r="K15">
        <v>0.25</v>
      </c>
      <c r="L15">
        <v>6.67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U15">
        <v>0.06</v>
      </c>
      <c r="V15">
        <v>2.2499999999999999E-2</v>
      </c>
      <c r="W15">
        <v>3.5000000000000003E-2</v>
      </c>
      <c r="X15">
        <v>7.4999999999999997E-3</v>
      </c>
      <c r="Y15">
        <v>5.0000000000000001E-3</v>
      </c>
      <c r="Z15">
        <v>2.75E-2</v>
      </c>
      <c r="AA15">
        <v>0.11749999999999999</v>
      </c>
      <c r="AB15">
        <v>0.04</v>
      </c>
      <c r="AC15">
        <v>1.7500000000000002E-2</v>
      </c>
      <c r="AD15">
        <v>6.25E-2</v>
      </c>
      <c r="AE15">
        <v>0.6875</v>
      </c>
      <c r="AF15">
        <v>0.73329999999999995</v>
      </c>
    </row>
    <row r="16" spans="1:32" x14ac:dyDescent="0.25">
      <c r="A16" t="s">
        <v>50</v>
      </c>
      <c r="B16" t="s">
        <v>32</v>
      </c>
      <c r="C16" t="s">
        <v>35</v>
      </c>
      <c r="D16" t="s">
        <v>33</v>
      </c>
      <c r="E16">
        <v>87.75</v>
      </c>
      <c r="F16">
        <v>94.75</v>
      </c>
      <c r="G16">
        <v>85</v>
      </c>
      <c r="H16">
        <v>98</v>
      </c>
      <c r="I16">
        <v>94.75</v>
      </c>
      <c r="J16">
        <v>93</v>
      </c>
      <c r="K16">
        <v>1.75</v>
      </c>
      <c r="L16">
        <v>35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U16">
        <v>0.06</v>
      </c>
      <c r="V16">
        <v>2.2499999999999999E-2</v>
      </c>
      <c r="W16">
        <v>8.2500000000000004E-2</v>
      </c>
      <c r="X16">
        <v>2.5000000000000001E-3</v>
      </c>
      <c r="Y16">
        <v>7.4999999999999997E-3</v>
      </c>
      <c r="Z16">
        <v>0.04</v>
      </c>
      <c r="AA16">
        <v>0.16500000000000001</v>
      </c>
      <c r="AB16">
        <v>0.05</v>
      </c>
      <c r="AC16">
        <v>0.02</v>
      </c>
      <c r="AD16">
        <v>0</v>
      </c>
      <c r="AE16">
        <v>0.8</v>
      </c>
      <c r="AF16">
        <v>0.8</v>
      </c>
    </row>
    <row r="17" spans="1:32" x14ac:dyDescent="0.25">
      <c r="A17" t="s">
        <v>51</v>
      </c>
      <c r="B17" t="s">
        <v>33</v>
      </c>
      <c r="C17" t="s">
        <v>35</v>
      </c>
      <c r="D17" t="s">
        <v>31</v>
      </c>
      <c r="E17">
        <v>89.25</v>
      </c>
      <c r="F17">
        <v>94.75</v>
      </c>
      <c r="G17">
        <v>88</v>
      </c>
      <c r="H17">
        <v>98.5</v>
      </c>
      <c r="I17">
        <v>94.75</v>
      </c>
      <c r="J17">
        <v>93.25</v>
      </c>
      <c r="K17">
        <v>1.5</v>
      </c>
      <c r="L17">
        <v>28.57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U17">
        <v>0.05</v>
      </c>
      <c r="V17">
        <v>1.7500000000000002E-2</v>
      </c>
      <c r="W17">
        <v>5.7500000000000002E-2</v>
      </c>
      <c r="X17">
        <v>7.4999999999999997E-3</v>
      </c>
      <c r="Y17">
        <v>1.2500000000000001E-2</v>
      </c>
      <c r="Z17">
        <v>3.5000000000000003E-2</v>
      </c>
      <c r="AA17">
        <v>0.125</v>
      </c>
      <c r="AB17">
        <v>5.5000000000000007E-2</v>
      </c>
      <c r="AC17">
        <v>1.4999999999999999E-2</v>
      </c>
      <c r="AD17">
        <v>4.5499999999999999E-2</v>
      </c>
      <c r="AE17">
        <v>0.63639999999999997</v>
      </c>
      <c r="AF17">
        <v>0.66669999999999996</v>
      </c>
    </row>
    <row r="18" spans="1:32" x14ac:dyDescent="0.25">
      <c r="A18" t="s">
        <v>52</v>
      </c>
      <c r="B18" t="s">
        <v>32</v>
      </c>
      <c r="C18" t="s">
        <v>37</v>
      </c>
      <c r="D18" t="s">
        <v>31</v>
      </c>
      <c r="E18">
        <v>91.25</v>
      </c>
      <c r="F18">
        <v>91.5</v>
      </c>
      <c r="G18">
        <v>88</v>
      </c>
      <c r="H18">
        <v>97</v>
      </c>
      <c r="I18">
        <v>91.5</v>
      </c>
      <c r="J18">
        <v>92.25</v>
      </c>
      <c r="K18">
        <v>-0.75</v>
      </c>
      <c r="L18">
        <v>-15.79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2.5000000000000001E-2</v>
      </c>
      <c r="V18">
        <v>2.75E-2</v>
      </c>
      <c r="W18">
        <v>5.5E-2</v>
      </c>
      <c r="X18">
        <v>1.2500000000000001E-2</v>
      </c>
      <c r="Y18">
        <v>1.4999999999999999E-2</v>
      </c>
      <c r="Z18">
        <v>0.02</v>
      </c>
      <c r="AA18">
        <v>0.1075</v>
      </c>
      <c r="AB18">
        <v>4.7500000000000001E-2</v>
      </c>
      <c r="AC18">
        <v>0.03</v>
      </c>
      <c r="AD18">
        <v>0</v>
      </c>
      <c r="AE18">
        <v>0.42109999999999997</v>
      </c>
      <c r="AF18">
        <v>0.42109999999999997</v>
      </c>
    </row>
    <row r="19" spans="1:32" x14ac:dyDescent="0.25">
      <c r="A19" t="s">
        <v>53</v>
      </c>
      <c r="B19" t="s">
        <v>33</v>
      </c>
      <c r="C19" t="s">
        <v>32</v>
      </c>
      <c r="D19" t="s">
        <v>35</v>
      </c>
      <c r="E19">
        <v>84.5</v>
      </c>
      <c r="F19">
        <v>92.5</v>
      </c>
      <c r="G19">
        <v>94.75</v>
      </c>
      <c r="H19">
        <v>98.25</v>
      </c>
      <c r="I19">
        <v>94.75</v>
      </c>
      <c r="J19">
        <v>93.5</v>
      </c>
      <c r="K19">
        <v>1.25</v>
      </c>
      <c r="L19">
        <v>26.32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9.5000000000000001E-2</v>
      </c>
      <c r="V19">
        <v>2.2499999999999999E-2</v>
      </c>
      <c r="W19">
        <v>1.7500000000000002E-2</v>
      </c>
      <c r="X19">
        <v>0.03</v>
      </c>
      <c r="Y19">
        <v>5.0000000000000001E-3</v>
      </c>
      <c r="Z19">
        <v>1.2500000000000001E-2</v>
      </c>
      <c r="AA19">
        <v>0.13500000000000001</v>
      </c>
      <c r="AB19">
        <v>4.7500000000000001E-2</v>
      </c>
      <c r="AC19">
        <v>1.7500000000000002E-2</v>
      </c>
      <c r="AD19">
        <v>0</v>
      </c>
      <c r="AE19">
        <v>0.63160000000000005</v>
      </c>
      <c r="AF19">
        <v>0.63160000000000005</v>
      </c>
    </row>
    <row r="20" spans="1:32" x14ac:dyDescent="0.25">
      <c r="A20" t="s">
        <v>54</v>
      </c>
      <c r="B20" t="s">
        <v>33</v>
      </c>
      <c r="C20" t="s">
        <v>35</v>
      </c>
      <c r="D20" t="s">
        <v>37</v>
      </c>
      <c r="E20">
        <v>87</v>
      </c>
      <c r="F20">
        <v>94.75</v>
      </c>
      <c r="G20">
        <v>91.5</v>
      </c>
      <c r="H20">
        <v>98.5</v>
      </c>
      <c r="I20">
        <v>94.75</v>
      </c>
      <c r="J20">
        <v>94.25</v>
      </c>
      <c r="K20">
        <v>0.5</v>
      </c>
      <c r="L20">
        <v>11.76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7.7499999999999999E-2</v>
      </c>
      <c r="V20">
        <v>2.5000000000000001E-2</v>
      </c>
      <c r="W20">
        <v>0.03</v>
      </c>
      <c r="X20">
        <v>5.0000000000000001E-3</v>
      </c>
      <c r="Y20">
        <v>7.4999999999999997E-3</v>
      </c>
      <c r="Z20">
        <v>3.2500000000000001E-2</v>
      </c>
      <c r="AA20">
        <v>0.13250000000000001</v>
      </c>
      <c r="AB20">
        <v>4.4999999999999998E-2</v>
      </c>
      <c r="AC20">
        <v>1.4999999999999999E-2</v>
      </c>
      <c r="AD20">
        <v>5.5599999999999997E-2</v>
      </c>
      <c r="AE20">
        <v>0.72219999999999995</v>
      </c>
      <c r="AF20">
        <v>0.76470000000000005</v>
      </c>
    </row>
    <row r="21" spans="1:32" x14ac:dyDescent="0.25">
      <c r="A21" t="s">
        <v>55</v>
      </c>
      <c r="B21" t="s">
        <v>31</v>
      </c>
      <c r="C21" t="s">
        <v>32</v>
      </c>
      <c r="D21" t="s">
        <v>33</v>
      </c>
      <c r="E21">
        <v>68.75</v>
      </c>
      <c r="F21">
        <v>92.5</v>
      </c>
      <c r="G21">
        <v>85</v>
      </c>
      <c r="H21">
        <v>97.5</v>
      </c>
      <c r="I21">
        <v>92.5</v>
      </c>
      <c r="J21">
        <v>91</v>
      </c>
      <c r="K21">
        <v>1.5</v>
      </c>
      <c r="L21">
        <v>23.08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U21">
        <v>0.2475</v>
      </c>
      <c r="V21">
        <v>1.4999999999999999E-2</v>
      </c>
      <c r="W21">
        <v>7.0000000000000007E-2</v>
      </c>
      <c r="X21">
        <v>0.01</v>
      </c>
      <c r="Y21">
        <v>2.5000000000000001E-2</v>
      </c>
      <c r="Z21">
        <v>0.03</v>
      </c>
      <c r="AA21">
        <v>0.33250000000000002</v>
      </c>
      <c r="AB21">
        <v>6.5000000000000002E-2</v>
      </c>
      <c r="AC21">
        <v>2.5000000000000001E-2</v>
      </c>
      <c r="AD21">
        <v>0</v>
      </c>
      <c r="AE21">
        <v>0.46150000000000002</v>
      </c>
      <c r="AF21">
        <v>0.46150000000000002</v>
      </c>
    </row>
    <row r="22" spans="1:32" x14ac:dyDescent="0.25">
      <c r="A22" t="s">
        <v>56</v>
      </c>
      <c r="B22" t="s">
        <v>37</v>
      </c>
      <c r="C22" t="s">
        <v>33</v>
      </c>
      <c r="D22" t="s">
        <v>32</v>
      </c>
      <c r="E22">
        <v>86</v>
      </c>
      <c r="F22">
        <v>85</v>
      </c>
      <c r="G22">
        <v>92.5</v>
      </c>
      <c r="H22">
        <v>96.75</v>
      </c>
      <c r="I22">
        <v>92.5</v>
      </c>
      <c r="J22">
        <v>92.25</v>
      </c>
      <c r="K22">
        <v>0.25</v>
      </c>
      <c r="L22">
        <v>5.56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U22">
        <v>7.7499999999999999E-2</v>
      </c>
      <c r="V22">
        <v>0.08</v>
      </c>
      <c r="W22">
        <v>1.4999999999999999E-2</v>
      </c>
      <c r="X22">
        <v>0.02</v>
      </c>
      <c r="Y22">
        <v>1.7500000000000002E-2</v>
      </c>
      <c r="Z22">
        <v>0.01</v>
      </c>
      <c r="AA22">
        <v>0.17249999999999999</v>
      </c>
      <c r="AB22">
        <v>4.7500000000000007E-2</v>
      </c>
      <c r="AC22">
        <v>3.2500000000000001E-2</v>
      </c>
      <c r="AD22">
        <v>5.2600000000000001E-2</v>
      </c>
      <c r="AE22">
        <v>0.42109999999999997</v>
      </c>
      <c r="AF22">
        <v>0.38890000000000002</v>
      </c>
    </row>
    <row r="23" spans="1:32" x14ac:dyDescent="0.25">
      <c r="A23" t="s">
        <v>57</v>
      </c>
      <c r="B23" t="s">
        <v>35</v>
      </c>
      <c r="C23" t="s">
        <v>33</v>
      </c>
      <c r="D23" t="s">
        <v>31</v>
      </c>
      <c r="E23">
        <v>85.25</v>
      </c>
      <c r="F23">
        <v>85</v>
      </c>
      <c r="G23">
        <v>88</v>
      </c>
      <c r="H23">
        <v>98.5</v>
      </c>
      <c r="I23">
        <v>87</v>
      </c>
      <c r="J23">
        <v>92.75</v>
      </c>
      <c r="K23">
        <v>-5.75</v>
      </c>
      <c r="L23">
        <v>-100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U23">
        <v>0.09</v>
      </c>
      <c r="V23">
        <v>8.5000000000000006E-2</v>
      </c>
      <c r="W23">
        <v>0.05</v>
      </c>
      <c r="X23">
        <v>0.01</v>
      </c>
      <c r="Y23">
        <v>0.04</v>
      </c>
      <c r="Z23">
        <v>1.4999999999999999E-2</v>
      </c>
      <c r="AA23">
        <v>0.22500000000000001</v>
      </c>
      <c r="AB23">
        <v>6.5000000000000002E-2</v>
      </c>
      <c r="AC23">
        <v>1.4999999999999999E-2</v>
      </c>
      <c r="AD23">
        <v>0.1154</v>
      </c>
      <c r="AE23">
        <v>0.61539999999999995</v>
      </c>
      <c r="AF23">
        <v>0.69569999999999999</v>
      </c>
    </row>
    <row r="25" spans="1:32" x14ac:dyDescent="0.25">
      <c r="I25">
        <f>SUM(I2:I23)/COUNTA(I2:I23)</f>
        <v>91.38095238095238</v>
      </c>
      <c r="J25">
        <f t="shared" ref="J25:AG25" si="0">SUM(J2:J23)/COUNTA(J2:J23)</f>
        <v>92.25</v>
      </c>
      <c r="K25">
        <f t="shared" si="0"/>
        <v>-0.86904761904761907</v>
      </c>
      <c r="L25">
        <f t="shared" si="0"/>
        <v>-17.603333333333335</v>
      </c>
      <c r="M25" t="e">
        <f t="shared" si="0"/>
        <v>#DIV/0!</v>
      </c>
      <c r="N25">
        <f t="shared" si="0"/>
        <v>0.33333333333333331</v>
      </c>
      <c r="O25">
        <f t="shared" si="0"/>
        <v>0.95238095238095233</v>
      </c>
      <c r="P25">
        <f t="shared" si="0"/>
        <v>1</v>
      </c>
      <c r="Q25">
        <f t="shared" si="0"/>
        <v>0.7142857142857143</v>
      </c>
      <c r="R25">
        <f t="shared" si="0"/>
        <v>0.95238095238095233</v>
      </c>
      <c r="S25">
        <f t="shared" si="0"/>
        <v>1</v>
      </c>
      <c r="T25" t="e">
        <f t="shared" si="0"/>
        <v>#DIV/0!</v>
      </c>
      <c r="U25">
        <f t="shared" si="0"/>
        <v>7.05952380952381E-2</v>
      </c>
      <c r="V25">
        <f t="shared" si="0"/>
        <v>4.6666666666666655E-2</v>
      </c>
      <c r="W25">
        <f t="shared" si="0"/>
        <v>4.6785714285714299E-2</v>
      </c>
      <c r="X25">
        <f t="shared" si="0"/>
        <v>1.666666666666667E-2</v>
      </c>
      <c r="Y25">
        <f t="shared" si="0"/>
        <v>1.5000000000000003E-2</v>
      </c>
      <c r="Z25">
        <f t="shared" si="0"/>
        <v>2.1428571428571432E-2</v>
      </c>
      <c r="AA25">
        <f t="shared" si="0"/>
        <v>0.16404761904761905</v>
      </c>
      <c r="AB25">
        <f t="shared" si="0"/>
        <v>5.3095238095238105E-2</v>
      </c>
      <c r="AC25">
        <f t="shared" si="0"/>
        <v>2.5952380952380966E-2</v>
      </c>
      <c r="AD25">
        <f t="shared" si="0"/>
        <v>2.6200000000000001E-2</v>
      </c>
      <c r="AE25">
        <f t="shared" si="0"/>
        <v>0.49459999999999998</v>
      </c>
      <c r="AF25">
        <f t="shared" si="0"/>
        <v>0.50659999999999994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CIFAR10</vt:lpstr>
      <vt:lpstr>ATS</vt:lpstr>
      <vt:lpstr>CTSD</vt:lpstr>
      <vt:lpstr>GTSRB</vt:lpstr>
      <vt:lpstr>TSCD</vt:lpstr>
      <vt:lpstr>TTS</vt:lpstr>
      <vt:lpstr>COVIDX9A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志豪 刘</cp:lastModifiedBy>
  <dcterms:created xsi:type="dcterms:W3CDTF">2025-04-01T08:41:31Z</dcterms:created>
  <dcterms:modified xsi:type="dcterms:W3CDTF">2025-04-02T06:46:39Z</dcterms:modified>
</cp:coreProperties>
</file>